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rey\Downloads\Documentos_Proyecto_Integrador\"/>
    </mc:Choice>
  </mc:AlternateContent>
  <xr:revisionPtr revIDLastSave="0" documentId="13_ncr:1_{3EE8C258-B28E-467D-BF1B-76D0B31D0FE5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Dashboard KPIs TD" sheetId="1" r:id="rId1"/>
    <sheet name="📈 Evolución KPIs" sheetId="2" r:id="rId2"/>
    <sheet name="🗺️ Roadmap Tecnológico" sheetId="3" r:id="rId3"/>
    <sheet name="📋 Actividades y Avance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<sst xmlns="http://schemas.openxmlformats.org/spreadsheetml/2006/main" count="414" uniqueCount="289">
  <si>
    <t>AXIA DATA — TRANSFORMACIÓN DIGITAL | Dashboard KPIs &amp; Estrategia</t>
  </si>
  <si>
    <t>Fundación Universitaria San Mateo  •  X Semestre  •  Docente: Edinson Leonardo Martínez Palencia</t>
  </si>
  <si>
    <t>◆  TABLERO EJECUTIVO — 25 KPIs ALINEADOS A LAS 5 VARIABLES DE NEGOCIO  ◆</t>
  </si>
  <si>
    <t>KPI</t>
  </si>
  <si>
    <t>Variable</t>
  </si>
  <si>
    <t>Fórmula Simplificada</t>
  </si>
  <si>
    <t>Valor Actual</t>
  </si>
  <si>
    <t>Meta</t>
  </si>
  <si>
    <t>Δ vs Meta</t>
  </si>
  <si>
    <t>Semáforo</t>
  </si>
  <si>
    <t>Frecuencia</t>
  </si>
  <si>
    <t>KPI-1.1 Tasa Conversión Global</t>
  </si>
  <si>
    <t>V1</t>
  </si>
  <si>
    <t>(Cierres/Leads)×100</t>
  </si>
  <si>
    <t>18.7%</t>
  </si>
  <si>
    <t>≥18%</t>
  </si>
  <si>
    <t>+0.7%</t>
  </si>
  <si>
    <t>🟢</t>
  </si>
  <si>
    <t>Mensual</t>
  </si>
  <si>
    <t>KPI-1.2 Conv. por Canal Digital</t>
  </si>
  <si>
    <t>(Cierres_dig/Leads_dig)×100</t>
  </si>
  <si>
    <t>24.2%</t>
  </si>
  <si>
    <t>≥25%</t>
  </si>
  <si>
    <t>-0.8%</t>
  </si>
  <si>
    <t>🟡</t>
  </si>
  <si>
    <t>KPI-1.3 Tiempo Promedio Cierre</t>
  </si>
  <si>
    <t>Σ(días_cierre)/N_cierres</t>
  </si>
  <si>
    <t>19 días</t>
  </si>
  <si>
    <t>≤21 días</t>
  </si>
  <si>
    <t>-2 días</t>
  </si>
  <si>
    <t>KPI-1.4 Efectividad Demo</t>
  </si>
  <si>
    <t>(Demos c/Propuesta/Total Demos)×100</t>
  </si>
  <si>
    <t>67%</t>
  </si>
  <si>
    <t>≥65%</t>
  </si>
  <si>
    <t>+2%</t>
  </si>
  <si>
    <t>KPI-1.5 Accuracy Modelo ML V1</t>
  </si>
  <si>
    <t>AUC-ROC del predictor de conversión</t>
  </si>
  <si>
    <t>0.87</t>
  </si>
  <si>
    <t>≥0.85</t>
  </si>
  <si>
    <t>+0.02</t>
  </si>
  <si>
    <t>KPI-2.1 CAC Global</t>
  </si>
  <si>
    <t>V2</t>
  </si>
  <si>
    <t>Inv.Total/Clientes Nuevos</t>
  </si>
  <si>
    <t>$1,087</t>
  </si>
  <si>
    <t>≤$1,200</t>
  </si>
  <si>
    <t>-$113</t>
  </si>
  <si>
    <t>KPI-2.2 CAC Canal Digital</t>
  </si>
  <si>
    <t>Gasto_digital/Clientes_digital</t>
  </si>
  <si>
    <t>$840</t>
  </si>
  <si>
    <t>≤$1,000</t>
  </si>
  <si>
    <t>-$160</t>
  </si>
  <si>
    <t>KPI-2.3 Ratio CLV/CAC</t>
  </si>
  <si>
    <t>V2/V3</t>
  </si>
  <si>
    <t>CLV_prom/CAC_global</t>
  </si>
  <si>
    <t>8.2x</t>
  </si>
  <si>
    <t>≥3.5x</t>
  </si>
  <si>
    <t>+4.7x</t>
  </si>
  <si>
    <t>Trimestral</t>
  </si>
  <si>
    <t>KPI-2.4 Período Recuperación CAC</t>
  </si>
  <si>
    <t>CAC/(ARPU×Margen_bruto)</t>
  </si>
  <si>
    <t>4.8 meses</t>
  </si>
  <si>
    <t>≤6 meses</t>
  </si>
  <si>
    <t>-1.2m</t>
  </si>
  <si>
    <t>KPI-2.5 Eficiencia del Embudo</t>
  </si>
  <si>
    <t>Conv_ponderada×Costo/CAC</t>
  </si>
  <si>
    <t>0.92</t>
  </si>
  <si>
    <t>Mejora≥5%/Q</t>
  </si>
  <si>
    <t>+6%</t>
  </si>
  <si>
    <t>KPI-3.1 CLV Promedio</t>
  </si>
  <si>
    <t>V3</t>
  </si>
  <si>
    <t>ARPU×Margen×Meses_relación</t>
  </si>
  <si>
    <t>$8,940</t>
  </si>
  <si>
    <t>≥$8,500</t>
  </si>
  <si>
    <t>+$440</t>
  </si>
  <si>
    <t>KPI-3.2 Expansión de Ingresos</t>
  </si>
  <si>
    <t>(Ingresos_act-Ingresos_ini)/Ini</t>
  </si>
  <si>
    <t>18%</t>
  </si>
  <si>
    <t>≥15%</t>
  </si>
  <si>
    <t>+3%</t>
  </si>
  <si>
    <t>KPI-3.3 NPS</t>
  </si>
  <si>
    <t>Promotores(%) − Detractores(%)</t>
  </si>
  <si>
    <t>57 pts</t>
  </si>
  <si>
    <t>≥55 pts</t>
  </si>
  <si>
    <t>+2 pts</t>
  </si>
  <si>
    <t>KPI-3.4 CSAT</t>
  </si>
  <si>
    <t>Σpuntuaciones/N×10</t>
  </si>
  <si>
    <t>8.7/10</t>
  </si>
  <si>
    <t>≥8.5/10</t>
  </si>
  <si>
    <t>+0.2</t>
  </si>
  <si>
    <t>KPI-3.5 Ratio Upselling</t>
  </si>
  <si>
    <t>(Clientes upsell/Total activos)×100</t>
  </si>
  <si>
    <t>27%</t>
  </si>
  <si>
    <t>KPI-4.1 Tasa de Retención</t>
  </si>
  <si>
    <t>V4</t>
  </si>
  <si>
    <t>((Cf-Cn)/Ci)×100</t>
  </si>
  <si>
    <t>91.2%</t>
  </si>
  <si>
    <t>≥92%</t>
  </si>
  <si>
    <t>KPI-4.2 Tasa de Churn</t>
  </si>
  <si>
    <t>(Cancelados/Inicio)×100</t>
  </si>
  <si>
    <t>3.1%</t>
  </si>
  <si>
    <t>≤3%</t>
  </si>
  <si>
    <t>+0.1%</t>
  </si>
  <si>
    <t>KPI-4.3 Alertas Proactivas Atendidas</t>
  </si>
  <si>
    <t>(Alertas_at/Total_alertas)×100</t>
  </si>
  <si>
    <t>88%</t>
  </si>
  <si>
    <t>≥90%</t>
  </si>
  <si>
    <t>-2%</t>
  </si>
  <si>
    <t>Semanal</t>
  </si>
  <si>
    <t>KPI-4.4 Tasa Recuperación At-Risk</t>
  </si>
  <si>
    <t>(AR_ret/AR_tot)×100</t>
  </si>
  <si>
    <t>38%</t>
  </si>
  <si>
    <t>≥35%</t>
  </si>
  <si>
    <t>KPI-4.5 MTTR del Sistema</t>
  </si>
  <si>
    <t>Σ(t_resolución)/N_incidentes</t>
  </si>
  <si>
    <t>3.2 hrs</t>
  </si>
  <si>
    <t>≤4 hrs</t>
  </si>
  <si>
    <t>-0.8 hrs</t>
  </si>
  <si>
    <t>KPI-5.1 Margen Operativo</t>
  </si>
  <si>
    <t>V5</t>
  </si>
  <si>
    <t>(Util_op/Ingresos)×100</t>
  </si>
  <si>
    <t>19.4%</t>
  </si>
  <si>
    <t>≥20%</t>
  </si>
  <si>
    <t>-0.6%</t>
  </si>
  <si>
    <t>KPI-5.2 Costo Infra/Ingreso</t>
  </si>
  <si>
    <t>(Costos_cloud/Ingresos)×100</t>
  </si>
  <si>
    <t>14.2%</t>
  </si>
  <si>
    <t>≤15%</t>
  </si>
  <si>
    <t>KPI-5.3 Ratio Eficiencia Op.</t>
  </si>
  <si>
    <t>Ingresos/Costos_op</t>
  </si>
  <si>
    <t>1.24x</t>
  </si>
  <si>
    <t>≥1.25x</t>
  </si>
  <si>
    <t>-0.01x</t>
  </si>
  <si>
    <t>KPI-5.4 MRR Crecimiento</t>
  </si>
  <si>
    <t>(MRR_mes-MRR_ant)/MRR_ant</t>
  </si>
  <si>
    <t>8.3% MoM</t>
  </si>
  <si>
    <t>≥8% MoM</t>
  </si>
  <si>
    <t>+0.3%</t>
  </si>
  <si>
    <t>KPI-5.5 Tasa Automatización</t>
  </si>
  <si>
    <t>(Proc_auto/Total_proc)×100</t>
  </si>
  <si>
    <t>71%</t>
  </si>
  <si>
    <t>≥75%</t>
  </si>
  <si>
    <t>-4%</t>
  </si>
  <si>
    <t>AXIA DATA — Evolución Mensual de KPIs Estratégicos</t>
  </si>
  <si>
    <t>Mes</t>
  </si>
  <si>
    <t>V1 Conv (%)</t>
  </si>
  <si>
    <t>V2 CAC ($)</t>
  </si>
  <si>
    <t>V3 CLV ($)</t>
  </si>
  <si>
    <t>V4 Retención (%)</t>
  </si>
  <si>
    <t>V5 Margen (%)</t>
  </si>
  <si>
    <t>MRR ($K)</t>
  </si>
  <si>
    <t>NPS</t>
  </si>
  <si>
    <t>Enero</t>
  </si>
  <si>
    <t>Febrero</t>
  </si>
  <si>
    <t>Marzo</t>
  </si>
  <si>
    <t>Abril</t>
  </si>
  <si>
    <t>Mayo</t>
  </si>
  <si>
    <t>Junio</t>
  </si>
  <si>
    <t>META</t>
  </si>
  <si>
    <t>AXIA DATA — Technology Roadmap de Transformación Digital</t>
  </si>
  <si>
    <t>Período</t>
  </si>
  <si>
    <t>Oleada</t>
  </si>
  <si>
    <t>Iniciativa Estratégica</t>
  </si>
  <si>
    <t>KPIs Impactados</t>
  </si>
  <si>
    <t>Inversión (USD)</t>
  </si>
  <si>
    <t>Estado</t>
  </si>
  <si>
    <t>% Avance</t>
  </si>
  <si>
    <t>Q3-2025</t>
  </si>
  <si>
    <t>Oleada 1: Fundación</t>
  </si>
  <si>
    <t>Estabilización datalake + logs de auditoría</t>
  </si>
  <si>
    <t>KPI-4.5, 5.1</t>
  </si>
  <si>
    <t>$20,000</t>
  </si>
  <si>
    <t>🔄 En curso</t>
  </si>
  <si>
    <t>75%</t>
  </si>
  <si>
    <t>Dashboard ejecutivo en vivo</t>
  </si>
  <si>
    <t>KPI-1.1, 3.3</t>
  </si>
  <si>
    <t>$15,000</t>
  </si>
  <si>
    <t>80%</t>
  </si>
  <si>
    <t>Modelo churn en producción</t>
  </si>
  <si>
    <t>KPI-4.1, 4.3</t>
  </si>
  <si>
    <t>$10,000</t>
  </si>
  <si>
    <t>✅ Listo</t>
  </si>
  <si>
    <t>100%</t>
  </si>
  <si>
    <t>Portal de privacidad GDPR</t>
  </si>
  <si>
    <t>Ética, KPI-4.1</t>
  </si>
  <si>
    <t>$12,000</t>
  </si>
  <si>
    <t>Q4-2025</t>
  </si>
  <si>
    <t>Synthetic data generation piloto</t>
  </si>
  <si>
    <t>Ética, V4</t>
  </si>
  <si>
    <t>$8,000</t>
  </si>
  <si>
    <t>⏳ Planificado</t>
  </si>
  <si>
    <t>0%</t>
  </si>
  <si>
    <t>Q1-2026</t>
  </si>
  <si>
    <t>Oleada 2: Escala</t>
  </si>
  <si>
    <t>MLOps automático (reentrenamiento)</t>
  </si>
  <si>
    <t>KPI-1.5, 4.3</t>
  </si>
  <si>
    <t>$30,000</t>
  </si>
  <si>
    <t>LLM para consultas NL del datalake</t>
  </si>
  <si>
    <t>KPI-3.3, 4.1</t>
  </si>
  <si>
    <t>$25,000</t>
  </si>
  <si>
    <t>Q2-2026</t>
  </si>
  <si>
    <t>Módulo optimización de precios</t>
  </si>
  <si>
    <t>KPI-2.1, 5.1</t>
  </si>
  <si>
    <t>API pública AxiaData v1.0</t>
  </si>
  <si>
    <t>KPI-3.2, 5.4</t>
  </si>
  <si>
    <t>Q3-2026</t>
  </si>
  <si>
    <t>Oleada 3: Inteligencia</t>
  </si>
  <si>
    <t>Personalización IA por segmento</t>
  </si>
  <si>
    <t>KPI-3.5, 4.1</t>
  </si>
  <si>
    <t>$35,000</t>
  </si>
  <si>
    <t>Q4-2026</t>
  </si>
  <si>
    <t>Edge computing para IoT</t>
  </si>
  <si>
    <t>KPI-1.1, 5.5</t>
  </si>
  <si>
    <t>2027</t>
  </si>
  <si>
    <t>Oleada 4: Innovación</t>
  </si>
  <si>
    <t>Plataforma multi-tenant</t>
  </si>
  <si>
    <t>Todas</t>
  </si>
  <si>
    <t>$80,000</t>
  </si>
  <si>
    <t>⏳ Futuro</t>
  </si>
  <si>
    <t>Marketplace de modelos ML</t>
  </si>
  <si>
    <t>$40,000</t>
  </si>
  <si>
    <t>2028+</t>
  </si>
  <si>
    <t>Pilotos computación cuántica</t>
  </si>
  <si>
    <t>KPI-5.1</t>
  </si>
  <si>
    <t>⏳ Investigación</t>
  </si>
  <si>
    <t>AXIA DATA — Plan de Actividades — Transformación Digital</t>
  </si>
  <si>
    <t>#</t>
  </si>
  <si>
    <t>Actividad</t>
  </si>
  <si>
    <t>Entregable</t>
  </si>
  <si>
    <t>Responsable</t>
  </si>
  <si>
    <t>F. Inicio</t>
  </si>
  <si>
    <t>F. Fin</t>
  </si>
  <si>
    <t>Avance (%)</t>
  </si>
  <si>
    <t>Análisis PESTEL digital del entorno</t>
  </si>
  <si>
    <t>Informe PESTEL completo</t>
  </si>
  <si>
    <t>Equipo TD</t>
  </si>
  <si>
    <t>01/02/2025</t>
  </si>
  <si>
    <t>10/02/2025</t>
  </si>
  <si>
    <t>✅ Completado</t>
  </si>
  <si>
    <t>Definición de 5 variables de negocio</t>
  </si>
  <si>
    <t>Documento variables + fórmulas</t>
  </si>
  <si>
    <t>Brayan Prieto</t>
  </si>
  <si>
    <t>11/02/2025</t>
  </si>
  <si>
    <t>20/02/2025</t>
  </si>
  <si>
    <t>Diseño de 25 KPIs (5 por variable)</t>
  </si>
  <si>
    <t>Tablero de KPIs con semáforos</t>
  </si>
  <si>
    <t>21/02/2025</t>
  </si>
  <si>
    <t>10/03/2025</t>
  </si>
  <si>
    <t>Análisis tecnologías emergentes</t>
  </si>
  <si>
    <t>Informe Hype Cycle + priorización</t>
  </si>
  <si>
    <t>11/03/2025</t>
  </si>
  <si>
    <t>25/03/2025</t>
  </si>
  <si>
    <t>Diseño del Technology Roadmap</t>
  </si>
  <si>
    <t>Roadmap 36 meses 4 oleadas</t>
  </si>
  <si>
    <t>26/03/2025</t>
  </si>
  <si>
    <t>10/04/2025</t>
  </si>
  <si>
    <t>Estrategia de misión, visión y OKRs</t>
  </si>
  <si>
    <t>Documento de estrategia digital</t>
  </si>
  <si>
    <t>11/04/2025</t>
  </si>
  <si>
    <t>25/04/2025</t>
  </si>
  <si>
    <t>Plan de Gestión del Cambio ADKAR</t>
  </si>
  <si>
    <t>Documento ADKAR completo</t>
  </si>
  <si>
    <t>RRHH + TD</t>
  </si>
  <si>
    <t>26/04/2025</t>
  </si>
  <si>
    <t>10/05/2025</t>
  </si>
  <si>
    <t>Plan de Capacitación por perfil</t>
  </si>
  <si>
    <t>5 rutas de aprendizaje diseñadas</t>
  </si>
  <si>
    <t>RRHH</t>
  </si>
  <si>
    <t>11/05/2025</t>
  </si>
  <si>
    <t>25/05/2025</t>
  </si>
  <si>
    <t>Implementación Dashboard KPIs live</t>
  </si>
  <si>
    <t>Dashboard en Power BI</t>
  </si>
  <si>
    <t>Dev Team</t>
  </si>
  <si>
    <t>26/05/2025</t>
  </si>
  <si>
    <t>10/06/2025</t>
  </si>
  <si>
    <t>🔄 En Proceso</t>
  </si>
  <si>
    <t>Medición y ajuste de KPIs Q1-Q2</t>
  </si>
  <si>
    <t>Informe de desempeño KPIs</t>
  </si>
  <si>
    <t>Analista TD</t>
  </si>
  <si>
    <t>11/06/2025</t>
  </si>
  <si>
    <t>20/06/2025</t>
  </si>
  <si>
    <t>Documentación técnica final</t>
  </si>
  <si>
    <t>Documento Word al 100%</t>
  </si>
  <si>
    <t>21/06/2025</t>
  </si>
  <si>
    <t>30/06/2025</t>
  </si>
  <si>
    <t>Presentación final al docente</t>
  </si>
  <si>
    <t>Slides + demo dashboard</t>
  </si>
  <si>
    <t>01/07/2025</t>
  </si>
  <si>
    <t>10/07/2025</t>
  </si>
  <si>
    <t>⏳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</si>
</sst>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sz val="9"/>
      <color rgb="FF1A1A1A"/>
      <name val="Arial"/>
      <charset val="1"/>
    </font>
    <font>
      <b/>
      <sz val="13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8C1F28"/>
        <bgColor rgb="FF993366"/>
      </patternFill>
    </fill>
    <fill>
      <patternFill patternType="solid">
        <fgColor rgb="FFD4820A"/>
        <bgColor rgb="FFFF6600"/>
      </patternFill>
    </fill>
    <fill>
      <patternFill patternType="solid">
        <fgColor rgb="FFF4F4F4"/>
        <bgColor rgb="FFEAF4FB"/>
      </patternFill>
    </fill>
    <fill>
      <patternFill patternType="solid">
        <fgColor rgb="FFFFFFFF"/>
        <bgColor rgb="FFF4F4F4"/>
      </patternFill>
    </fill>
    <fill>
      <patternFill patternType="solid">
        <fgColor rgb="FFFDF3E3"/>
        <bgColor rgb="FFF9ECED"/>
      </patternFill>
    </fill>
    <fill>
      <patternFill patternType="solid">
        <fgColor rgb="FFF9ECED"/>
        <bgColor rgb="FFFDF3E3"/>
      </patternFill>
    </fill>
    <fill>
      <patternFill patternType="solid">
        <fgColor rgb="FFEAF4FB"/>
        <bgColor rgb="FFF4F4F4"/>
      </patternFill>
    </fill>
    <fill>
      <patternFill patternType="solid">
        <fgColor rgb="FFE8F5E9"/>
        <bgColor rgb="FFEAF4FB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DF3E3"/>
      <rgbColor rgb="FFEAF4FB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4F4F4"/>
      <rgbColor rgb="FFF9ECE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003366"/>
      <rgbColor rgb="FF339966"/>
      <rgbColor rgb="FF003300"/>
      <rgbColor rgb="FF333300"/>
      <rgbColor rgb="FF8C1F28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Evolución V1 Conv, V4 Retención, V5 Margen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Evolución KPIs'!$B$2</c:f>
              <c:strCache>
                <c:ptCount val="1"/>
                <c:pt idx="0">
                  <c:v>V1 Conv (%)</c:v>
                </c:pt>
              </c:strCache>
            </c:strRef>
          </c:tx>
          <c:spPr>
            <a:ln w="28440">
              <a:solidFill>
                <a:srgbClr val="8C1F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Evolución KPIs'!$A$3:$A$8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Evolución KPIs'!$B$3:$B$8</c:f>
              <c:numCache>
                <c:formatCode>General</c:formatCode>
                <c:ptCount val="6"/>
                <c:pt idx="0">
                  <c:v>15.2</c:v>
                </c:pt>
                <c:pt idx="1">
                  <c:v>16.100000000000001</c:v>
                </c:pt>
                <c:pt idx="2">
                  <c:v>17.5</c:v>
                </c:pt>
                <c:pt idx="3">
                  <c:v>18.7</c:v>
                </c:pt>
                <c:pt idx="4">
                  <c:v>19.2</c:v>
                </c:pt>
                <c:pt idx="5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9C-46BA-84AD-BB039708A2B3}"/>
            </c:ext>
          </c:extLst>
        </c:ser>
        <c:ser>
          <c:idx val="1"/>
          <c:order val="1"/>
          <c:tx>
            <c:strRef>
              <c:f>'📈 Evolución KPIs'!$E$2</c:f>
              <c:strCache>
                <c:ptCount val="1"/>
                <c:pt idx="0">
                  <c:v>V4 Retención (%)</c:v>
                </c:pt>
              </c:strCache>
            </c:strRef>
          </c:tx>
          <c:spPr>
            <a:ln w="2844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Evolución KPIs'!$A$3:$A$8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Evolución KPIs'!$E$3:$E$8</c:f>
              <c:numCache>
                <c:formatCode>General</c:formatCode>
                <c:ptCount val="6"/>
                <c:pt idx="0">
                  <c:v>88.1</c:v>
                </c:pt>
                <c:pt idx="1">
                  <c:v>89.3</c:v>
                </c:pt>
                <c:pt idx="2">
                  <c:v>90.2</c:v>
                </c:pt>
                <c:pt idx="3">
                  <c:v>91.2</c:v>
                </c:pt>
                <c:pt idx="4">
                  <c:v>91.8</c:v>
                </c:pt>
                <c:pt idx="5">
                  <c:v>92.5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49C-46BA-84AD-BB039708A2B3}"/>
            </c:ext>
          </c:extLst>
        </c:ser>
        <c:ser>
          <c:idx val="2"/>
          <c:order val="2"/>
          <c:tx>
            <c:strRef>
              <c:f>'📈 Evolución KPIs'!$F$2</c:f>
              <c:strCache>
                <c:ptCount val="1"/>
                <c:pt idx="0">
                  <c:v>V5 Margen (%)</c:v>
                </c:pt>
              </c:strCache>
            </c:strRef>
          </c:tx>
          <c:spPr>
            <a:ln w="28440">
              <a:solidFill>
                <a:srgbClr val="D4820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Evolución KPIs'!$A$3:$A$8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Evolución KPIs'!$F$3:$F$8</c:f>
              <c:numCache>
                <c:formatCode>General</c:formatCode>
                <c:ptCount val="6"/>
                <c:pt idx="0">
                  <c:v>16.2</c:v>
                </c:pt>
                <c:pt idx="1">
                  <c:v>17</c:v>
                </c:pt>
                <c:pt idx="2">
                  <c:v>17.8</c:v>
                </c:pt>
                <c:pt idx="3">
                  <c:v>19.399999999999999</c:v>
                </c:pt>
                <c:pt idx="4">
                  <c:v>19.8</c:v>
                </c:pt>
                <c:pt idx="5">
                  <c:v>20.5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49C-46BA-84AD-BB039708A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534430"/>
        <c:axId val="90632572"/>
      </c:lineChart>
      <c:catAx>
        <c:axId val="715344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0632572"/>
        <c:crosses val="autoZero"/>
        <c:auto val="1"/>
        <c:lblAlgn val="ctr"/>
        <c:lblOffset val="100"/>
        <c:noMultiLvlLbl val="0"/>
      </c:catAx>
      <c:valAx>
        <c:axId val="90632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715344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Crecimiento MRR Mensual ($K)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Evolución KPIs'!$G$2</c:f>
              <c:strCache>
                <c:ptCount val="1"/>
                <c:pt idx="0">
                  <c:v>MRR ($K)</c:v>
                </c:pt>
              </c:strCache>
            </c:strRef>
          </c:tx>
          <c:spPr>
            <a:solidFill>
              <a:srgbClr val="D4820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Evolución KPIs'!$A$3:$A$8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Evolución KPIs'!$G$3:$G$8</c:f>
              <c:numCache>
                <c:formatCode>General</c:formatCode>
                <c:ptCount val="6"/>
                <c:pt idx="0">
                  <c:v>280</c:v>
                </c:pt>
                <c:pt idx="1">
                  <c:v>302</c:v>
                </c:pt>
                <c:pt idx="2">
                  <c:v>326</c:v>
                </c:pt>
                <c:pt idx="3">
                  <c:v>352</c:v>
                </c:pt>
                <c:pt idx="4">
                  <c:v>382</c:v>
                </c:pt>
                <c:pt idx="5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3-4728-81F8-CED91F81D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07239"/>
        <c:axId val="1886924"/>
      </c:barChart>
      <c:catAx>
        <c:axId val="80407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886924"/>
        <c:crosses val="autoZero"/>
        <c:auto val="1"/>
        <c:lblAlgn val="ctr"/>
        <c:lblOffset val="100"/>
        <c:noMultiLvlLbl val="0"/>
      </c:catAx>
      <c:valAx>
        <c:axId val="1886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04072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Avance de Iniciativas del Roadmap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'🗺️ Roadmap Tecnológico'!$G$2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rgbClr val="8C1F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'🗺️ Roadmap Tecnológico'!$C$3:$C$16</c:f>
              <c:strCache>
                <c:ptCount val="14"/>
                <c:pt idx="0">
                  <c:v>Estabilización datalake + logs de auditoría</c:v>
                </c:pt>
                <c:pt idx="1">
                  <c:v>Dashboard ejecutivo en vivo</c:v>
                </c:pt>
                <c:pt idx="2">
                  <c:v>Modelo churn en producción</c:v>
                </c:pt>
                <c:pt idx="3">
                  <c:v>Portal de privacidad GDPR</c:v>
                </c:pt>
                <c:pt idx="4">
                  <c:v>Synthetic data generation piloto</c:v>
                </c:pt>
                <c:pt idx="5">
                  <c:v>MLOps automático (reentrenamiento)</c:v>
                </c:pt>
                <c:pt idx="6">
                  <c:v>LLM para consultas NL del datalake</c:v>
                </c:pt>
                <c:pt idx="7">
                  <c:v>Módulo optimización de precios</c:v>
                </c:pt>
                <c:pt idx="8">
                  <c:v>API pública AxiaData v1.0</c:v>
                </c:pt>
                <c:pt idx="9">
                  <c:v>Personalización IA por segmento</c:v>
                </c:pt>
                <c:pt idx="10">
                  <c:v>Edge computing para IoT</c:v>
                </c:pt>
                <c:pt idx="11">
                  <c:v>Plataforma multi-tenant</c:v>
                </c:pt>
                <c:pt idx="12">
                  <c:v>Marketplace de modelos ML</c:v>
                </c:pt>
                <c:pt idx="13">
                  <c:v>Pilotos computación cuántica</c:v>
                </c:pt>
              </c:strCache>
            </c:strRef>
          </c:cat>
          <c:val>
            <c:numRef>
              <c:f>'🗺️ Roadmap Tecnológico'!$G$3:$G$16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1-4F0E-AB5B-CE43A33B3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92484"/>
        <c:axId val="17367324"/>
      </c:barChart>
      <c:catAx>
        <c:axId val="997924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7367324"/>
        <c:crosses val="autoZero"/>
        <c:auto val="1"/>
        <c:lblAlgn val="ctr"/>
        <c:lblOffset val="100"/>
        <c:noMultiLvlLbl val="0"/>
      </c:catAx>
      <c:valAx>
        <c:axId val="173673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9792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Avance por Actividad — Transformación Digital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'📋 Actividades y Avances'!$G$2</c:f>
              <c:strCache>
                <c:ptCount val="1"/>
                <c:pt idx="0">
                  <c:v>Avance (%)</c:v>
                </c:pt>
              </c:strCache>
            </c:strRef>
          </c:tx>
          <c:spPr>
            <a:solidFill>
              <a:srgbClr val="D4820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'📋 Actividades y Avances'!$B$3:$B$14</c:f>
              <c:strCache>
                <c:ptCount val="12"/>
                <c:pt idx="0">
                  <c:v>Análisis PESTEL digital del entorno</c:v>
                </c:pt>
                <c:pt idx="1">
                  <c:v>Definición de 5 variables de negocio</c:v>
                </c:pt>
                <c:pt idx="2">
                  <c:v>Diseño de 25 KPIs (5 por variable)</c:v>
                </c:pt>
                <c:pt idx="3">
                  <c:v>Análisis tecnologías emergentes</c:v>
                </c:pt>
                <c:pt idx="4">
                  <c:v>Diseño del Technology Roadmap</c:v>
                </c:pt>
                <c:pt idx="5">
                  <c:v>Estrategia de misión, visión y OKRs</c:v>
                </c:pt>
                <c:pt idx="6">
                  <c:v>Plan de Gestión del Cambio ADKAR</c:v>
                </c:pt>
                <c:pt idx="7">
                  <c:v>Plan de Capacitación por perfil</c:v>
                </c:pt>
                <c:pt idx="8">
                  <c:v>Implementación Dashboard KPIs live</c:v>
                </c:pt>
                <c:pt idx="9">
                  <c:v>Medición y ajuste de KPIs Q1-Q2</c:v>
                </c:pt>
                <c:pt idx="10">
                  <c:v>Documentación técnica final</c:v>
                </c:pt>
                <c:pt idx="11">
                  <c:v>Presentación final al docente</c:v>
                </c:pt>
              </c:strCache>
            </c:strRef>
          </c:cat>
          <c:val>
            <c:numRef>
              <c:f>'📋 Actividades y Avances'!$G$3:$G$14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85</c:v>
                </c:pt>
                <c:pt idx="9">
                  <c:v>70</c:v>
                </c:pt>
                <c:pt idx="10">
                  <c:v>88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9-4133-9861-B49B0A293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576485"/>
        <c:axId val="82147328"/>
      </c:barChart>
      <c:catAx>
        <c:axId val="895764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2147328"/>
        <c:crosses val="autoZero"/>
        <c:auto val="1"/>
        <c:lblAlgn val="ctr"/>
        <c:lblOffset val="100"/>
        <c:noMultiLvlLbl val="0"/>
      </c:catAx>
      <c:valAx>
        <c:axId val="8214732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95764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10</xdr:col>
      <xdr:colOff>524160</xdr:colOff>
      <xdr:row>37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11</xdr:row>
      <xdr:rowOff>0</xdr:rowOff>
    </xdr:from>
    <xdr:to>
      <xdr:col>24</xdr:col>
      <xdr:colOff>364320</xdr:colOff>
      <xdr:row>33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4</xdr:col>
      <xdr:colOff>714960</xdr:colOff>
      <xdr:row>45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5</xdr:col>
      <xdr:colOff>800640</xdr:colOff>
      <xdr:row>42</xdr:row>
      <xdr:rowOff>86760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showGridLines="0" zoomScaleNormal="100" workbookViewId="0">
      <selection activeCell="A6" sqref="A6"/>
    </sheetView>
  </sheetViews>
  <sheetFormatPr baseColWidth="10" defaultColWidth="8.7109375" defaultRowHeight="15" x14ac:dyDescent="0.25"/>
  <cols>
    <col min="1" max="1" width="30" customWidth="1"/>
    <col min="2" max="2" width="8" customWidth="1"/>
    <col min="3" max="3" width="32" customWidth="1"/>
    <col min="4" max="4" width="14" customWidth="1"/>
    <col min="5" max="5" width="12" customWidth="1"/>
    <col min="6" max="8" width="10" customWidth="1"/>
  </cols>
  <sheetData>
    <row r="1" spans="1:14" ht="34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24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25.5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14" ht="21.75" customHeight="1" x14ac:dyDescent="0.25">
      <c r="A6" s="6" t="s">
        <v>11</v>
      </c>
      <c r="B6" s="7" t="s">
        <v>12</v>
      </c>
      <c r="C6" s="6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</row>
    <row r="7" spans="1:14" ht="21.75" customHeight="1" x14ac:dyDescent="0.25">
      <c r="A7" s="8" t="s">
        <v>19</v>
      </c>
      <c r="B7" s="9" t="s">
        <v>12</v>
      </c>
      <c r="C7" s="8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18</v>
      </c>
    </row>
    <row r="8" spans="1:14" ht="21.75" customHeight="1" x14ac:dyDescent="0.25">
      <c r="A8" s="6" t="s">
        <v>25</v>
      </c>
      <c r="B8" s="7" t="s">
        <v>12</v>
      </c>
      <c r="C8" s="6" t="s">
        <v>26</v>
      </c>
      <c r="D8" s="7" t="s">
        <v>27</v>
      </c>
      <c r="E8" s="7" t="s">
        <v>28</v>
      </c>
      <c r="F8" s="7" t="s">
        <v>29</v>
      </c>
      <c r="G8" s="7" t="s">
        <v>17</v>
      </c>
      <c r="H8" s="7" t="s">
        <v>18</v>
      </c>
    </row>
    <row r="9" spans="1:14" ht="21.75" customHeight="1" x14ac:dyDescent="0.25">
      <c r="A9" s="8" t="s">
        <v>30</v>
      </c>
      <c r="B9" s="9" t="s">
        <v>12</v>
      </c>
      <c r="C9" s="8" t="s">
        <v>31</v>
      </c>
      <c r="D9" s="9" t="s">
        <v>32</v>
      </c>
      <c r="E9" s="9" t="s">
        <v>33</v>
      </c>
      <c r="F9" s="9" t="s">
        <v>34</v>
      </c>
      <c r="G9" s="9" t="s">
        <v>17</v>
      </c>
      <c r="H9" s="9" t="s">
        <v>18</v>
      </c>
    </row>
    <row r="10" spans="1:14" ht="21.75" customHeight="1" x14ac:dyDescent="0.25">
      <c r="A10" s="6" t="s">
        <v>35</v>
      </c>
      <c r="B10" s="7" t="s">
        <v>12</v>
      </c>
      <c r="C10" s="6" t="s">
        <v>36</v>
      </c>
      <c r="D10" s="7" t="s">
        <v>37</v>
      </c>
      <c r="E10" s="7" t="s">
        <v>38</v>
      </c>
      <c r="F10" s="7" t="s">
        <v>39</v>
      </c>
      <c r="G10" s="7" t="s">
        <v>17</v>
      </c>
      <c r="H10" s="7" t="s">
        <v>18</v>
      </c>
    </row>
    <row r="11" spans="1:14" ht="21.75" customHeight="1" x14ac:dyDescent="0.25">
      <c r="A11" s="8" t="s">
        <v>40</v>
      </c>
      <c r="B11" s="9" t="s">
        <v>41</v>
      </c>
      <c r="C11" s="8" t="s">
        <v>42</v>
      </c>
      <c r="D11" s="9" t="s">
        <v>43</v>
      </c>
      <c r="E11" s="9" t="s">
        <v>44</v>
      </c>
      <c r="F11" s="9" t="s">
        <v>45</v>
      </c>
      <c r="G11" s="9" t="s">
        <v>17</v>
      </c>
      <c r="H11" s="9" t="s">
        <v>18</v>
      </c>
    </row>
    <row r="12" spans="1:14" ht="21.75" customHeight="1" x14ac:dyDescent="0.25">
      <c r="A12" s="6" t="s">
        <v>46</v>
      </c>
      <c r="B12" s="7" t="s">
        <v>41</v>
      </c>
      <c r="C12" s="6" t="s">
        <v>47</v>
      </c>
      <c r="D12" s="7" t="s">
        <v>48</v>
      </c>
      <c r="E12" s="7" t="s">
        <v>49</v>
      </c>
      <c r="F12" s="7" t="s">
        <v>50</v>
      </c>
      <c r="G12" s="7" t="s">
        <v>17</v>
      </c>
      <c r="H12" s="7" t="s">
        <v>18</v>
      </c>
    </row>
    <row r="13" spans="1:14" ht="21.75" customHeight="1" x14ac:dyDescent="0.25">
      <c r="A13" s="8" t="s">
        <v>51</v>
      </c>
      <c r="B13" s="9" t="s">
        <v>52</v>
      </c>
      <c r="C13" s="8" t="s">
        <v>53</v>
      </c>
      <c r="D13" s="9" t="s">
        <v>54</v>
      </c>
      <c r="E13" s="9" t="s">
        <v>55</v>
      </c>
      <c r="F13" s="9" t="s">
        <v>56</v>
      </c>
      <c r="G13" s="9" t="s">
        <v>17</v>
      </c>
      <c r="H13" s="9" t="s">
        <v>57</v>
      </c>
    </row>
    <row r="14" spans="1:14" ht="21.75" customHeight="1" x14ac:dyDescent="0.25">
      <c r="A14" s="6" t="s">
        <v>58</v>
      </c>
      <c r="B14" s="7" t="s">
        <v>41</v>
      </c>
      <c r="C14" s="6" t="s">
        <v>59</v>
      </c>
      <c r="D14" s="7" t="s">
        <v>60</v>
      </c>
      <c r="E14" s="7" t="s">
        <v>61</v>
      </c>
      <c r="F14" s="7" t="s">
        <v>62</v>
      </c>
      <c r="G14" s="7" t="s">
        <v>17</v>
      </c>
      <c r="H14" s="7" t="s">
        <v>57</v>
      </c>
    </row>
    <row r="15" spans="1:14" ht="21.75" customHeight="1" x14ac:dyDescent="0.25">
      <c r="A15" s="8" t="s">
        <v>63</v>
      </c>
      <c r="B15" s="9" t="s">
        <v>41</v>
      </c>
      <c r="C15" s="8" t="s">
        <v>64</v>
      </c>
      <c r="D15" s="9" t="s">
        <v>65</v>
      </c>
      <c r="E15" s="9" t="s">
        <v>66</v>
      </c>
      <c r="F15" s="9" t="s">
        <v>67</v>
      </c>
      <c r="G15" s="9" t="s">
        <v>17</v>
      </c>
      <c r="H15" s="9" t="s">
        <v>57</v>
      </c>
    </row>
    <row r="16" spans="1:14" ht="21.75" customHeight="1" x14ac:dyDescent="0.25">
      <c r="A16" s="6" t="s">
        <v>68</v>
      </c>
      <c r="B16" s="7" t="s">
        <v>69</v>
      </c>
      <c r="C16" s="6" t="s">
        <v>70</v>
      </c>
      <c r="D16" s="7" t="s">
        <v>71</v>
      </c>
      <c r="E16" s="7" t="s">
        <v>72</v>
      </c>
      <c r="F16" s="7" t="s">
        <v>73</v>
      </c>
      <c r="G16" s="7" t="s">
        <v>17</v>
      </c>
      <c r="H16" s="7" t="s">
        <v>57</v>
      </c>
    </row>
    <row r="17" spans="1:8" ht="21.75" customHeight="1" x14ac:dyDescent="0.25">
      <c r="A17" s="8" t="s">
        <v>74</v>
      </c>
      <c r="B17" s="9" t="s">
        <v>69</v>
      </c>
      <c r="C17" s="8" t="s">
        <v>75</v>
      </c>
      <c r="D17" s="9" t="s">
        <v>76</v>
      </c>
      <c r="E17" s="9" t="s">
        <v>77</v>
      </c>
      <c r="F17" s="9" t="s">
        <v>78</v>
      </c>
      <c r="G17" s="9" t="s">
        <v>17</v>
      </c>
      <c r="H17" s="9" t="s">
        <v>18</v>
      </c>
    </row>
    <row r="18" spans="1:8" ht="21.75" customHeight="1" x14ac:dyDescent="0.25">
      <c r="A18" s="6" t="s">
        <v>79</v>
      </c>
      <c r="B18" s="7" t="s">
        <v>69</v>
      </c>
      <c r="C18" s="6" t="s">
        <v>80</v>
      </c>
      <c r="D18" s="7" t="s">
        <v>81</v>
      </c>
      <c r="E18" s="7" t="s">
        <v>82</v>
      </c>
      <c r="F18" s="7" t="s">
        <v>83</v>
      </c>
      <c r="G18" s="7" t="s">
        <v>17</v>
      </c>
      <c r="H18" s="7" t="s">
        <v>57</v>
      </c>
    </row>
    <row r="19" spans="1:8" ht="21.75" customHeight="1" x14ac:dyDescent="0.25">
      <c r="A19" s="8" t="s">
        <v>84</v>
      </c>
      <c r="B19" s="9" t="s">
        <v>69</v>
      </c>
      <c r="C19" s="8" t="s">
        <v>85</v>
      </c>
      <c r="D19" s="9" t="s">
        <v>86</v>
      </c>
      <c r="E19" s="9" t="s">
        <v>87</v>
      </c>
      <c r="F19" s="9" t="s">
        <v>88</v>
      </c>
      <c r="G19" s="9" t="s">
        <v>17</v>
      </c>
      <c r="H19" s="9" t="s">
        <v>18</v>
      </c>
    </row>
    <row r="20" spans="1:8" ht="21.75" customHeight="1" x14ac:dyDescent="0.25">
      <c r="A20" s="6" t="s">
        <v>89</v>
      </c>
      <c r="B20" s="7" t="s">
        <v>69</v>
      </c>
      <c r="C20" s="6" t="s">
        <v>90</v>
      </c>
      <c r="D20" s="7" t="s">
        <v>91</v>
      </c>
      <c r="E20" s="7" t="s">
        <v>22</v>
      </c>
      <c r="F20" s="7" t="s">
        <v>34</v>
      </c>
      <c r="G20" s="7" t="s">
        <v>17</v>
      </c>
      <c r="H20" s="7" t="s">
        <v>57</v>
      </c>
    </row>
    <row r="21" spans="1:8" ht="21.75" customHeight="1" x14ac:dyDescent="0.25">
      <c r="A21" s="8" t="s">
        <v>92</v>
      </c>
      <c r="B21" s="9" t="s">
        <v>93</v>
      </c>
      <c r="C21" s="8" t="s">
        <v>94</v>
      </c>
      <c r="D21" s="9" t="s">
        <v>95</v>
      </c>
      <c r="E21" s="9" t="s">
        <v>96</v>
      </c>
      <c r="F21" s="9" t="s">
        <v>23</v>
      </c>
      <c r="G21" s="9" t="s">
        <v>24</v>
      </c>
      <c r="H21" s="9" t="s">
        <v>18</v>
      </c>
    </row>
    <row r="22" spans="1:8" ht="21.75" customHeight="1" x14ac:dyDescent="0.25">
      <c r="A22" s="6" t="s">
        <v>97</v>
      </c>
      <c r="B22" s="7" t="s">
        <v>93</v>
      </c>
      <c r="C22" s="6" t="s">
        <v>98</v>
      </c>
      <c r="D22" s="7" t="s">
        <v>99</v>
      </c>
      <c r="E22" s="7" t="s">
        <v>100</v>
      </c>
      <c r="F22" s="7" t="s">
        <v>101</v>
      </c>
      <c r="G22" s="7" t="s">
        <v>24</v>
      </c>
      <c r="H22" s="7" t="s">
        <v>18</v>
      </c>
    </row>
    <row r="23" spans="1:8" ht="21.75" customHeight="1" x14ac:dyDescent="0.25">
      <c r="A23" s="8" t="s">
        <v>102</v>
      </c>
      <c r="B23" s="9" t="s">
        <v>93</v>
      </c>
      <c r="C23" s="8" t="s">
        <v>103</v>
      </c>
      <c r="D23" s="9" t="s">
        <v>104</v>
      </c>
      <c r="E23" s="9" t="s">
        <v>105</v>
      </c>
      <c r="F23" s="9" t="s">
        <v>106</v>
      </c>
      <c r="G23" s="9" t="s">
        <v>24</v>
      </c>
      <c r="H23" s="9" t="s">
        <v>107</v>
      </c>
    </row>
    <row r="24" spans="1:8" ht="21.75" customHeight="1" x14ac:dyDescent="0.25">
      <c r="A24" s="6" t="s">
        <v>108</v>
      </c>
      <c r="B24" s="7" t="s">
        <v>93</v>
      </c>
      <c r="C24" s="6" t="s">
        <v>109</v>
      </c>
      <c r="D24" s="7" t="s">
        <v>110</v>
      </c>
      <c r="E24" s="7" t="s">
        <v>111</v>
      </c>
      <c r="F24" s="7" t="s">
        <v>78</v>
      </c>
      <c r="G24" s="7" t="s">
        <v>17</v>
      </c>
      <c r="H24" s="7" t="s">
        <v>18</v>
      </c>
    </row>
    <row r="25" spans="1:8" ht="21.75" customHeight="1" x14ac:dyDescent="0.25">
      <c r="A25" s="8" t="s">
        <v>112</v>
      </c>
      <c r="B25" s="9" t="s">
        <v>93</v>
      </c>
      <c r="C25" s="8" t="s">
        <v>113</v>
      </c>
      <c r="D25" s="9" t="s">
        <v>114</v>
      </c>
      <c r="E25" s="9" t="s">
        <v>115</v>
      </c>
      <c r="F25" s="9" t="s">
        <v>116</v>
      </c>
      <c r="G25" s="9" t="s">
        <v>17</v>
      </c>
      <c r="H25" s="9" t="s">
        <v>18</v>
      </c>
    </row>
    <row r="26" spans="1:8" ht="21.75" customHeight="1" x14ac:dyDescent="0.25">
      <c r="A26" s="6" t="s">
        <v>117</v>
      </c>
      <c r="B26" s="7" t="s">
        <v>118</v>
      </c>
      <c r="C26" s="6" t="s">
        <v>119</v>
      </c>
      <c r="D26" s="7" t="s">
        <v>120</v>
      </c>
      <c r="E26" s="7" t="s">
        <v>121</v>
      </c>
      <c r="F26" s="7" t="s">
        <v>122</v>
      </c>
      <c r="G26" s="7" t="s">
        <v>24</v>
      </c>
      <c r="H26" s="7" t="s">
        <v>18</v>
      </c>
    </row>
    <row r="27" spans="1:8" ht="21.75" customHeight="1" x14ac:dyDescent="0.25">
      <c r="A27" s="8" t="s">
        <v>123</v>
      </c>
      <c r="B27" s="9" t="s">
        <v>118</v>
      </c>
      <c r="C27" s="8" t="s">
        <v>124</v>
      </c>
      <c r="D27" s="9" t="s">
        <v>125</v>
      </c>
      <c r="E27" s="9" t="s">
        <v>126</v>
      </c>
      <c r="F27" s="9" t="s">
        <v>23</v>
      </c>
      <c r="G27" s="9" t="s">
        <v>17</v>
      </c>
      <c r="H27" s="9" t="s">
        <v>18</v>
      </c>
    </row>
    <row r="28" spans="1:8" ht="21.75" customHeight="1" x14ac:dyDescent="0.25">
      <c r="A28" s="6" t="s">
        <v>127</v>
      </c>
      <c r="B28" s="7" t="s">
        <v>118</v>
      </c>
      <c r="C28" s="6" t="s">
        <v>128</v>
      </c>
      <c r="D28" s="7" t="s">
        <v>129</v>
      </c>
      <c r="E28" s="7" t="s">
        <v>130</v>
      </c>
      <c r="F28" s="7" t="s">
        <v>131</v>
      </c>
      <c r="G28" s="7" t="s">
        <v>24</v>
      </c>
      <c r="H28" s="7" t="s">
        <v>18</v>
      </c>
    </row>
    <row r="29" spans="1:8" ht="21.75" customHeight="1" x14ac:dyDescent="0.25">
      <c r="A29" s="8" t="s">
        <v>132</v>
      </c>
      <c r="B29" s="9" t="s">
        <v>118</v>
      </c>
      <c r="C29" s="8" t="s">
        <v>133</v>
      </c>
      <c r="D29" s="9" t="s">
        <v>134</v>
      </c>
      <c r="E29" s="9" t="s">
        <v>135</v>
      </c>
      <c r="F29" s="9" t="s">
        <v>136</v>
      </c>
      <c r="G29" s="9" t="s">
        <v>17</v>
      </c>
      <c r="H29" s="9" t="s">
        <v>18</v>
      </c>
    </row>
    <row r="30" spans="1:8" ht="21.75" customHeight="1" x14ac:dyDescent="0.25">
      <c r="A30" s="6" t="s">
        <v>137</v>
      </c>
      <c r="B30" s="7" t="s">
        <v>118</v>
      </c>
      <c r="C30" s="6" t="s">
        <v>138</v>
      </c>
      <c r="D30" s="7" t="s">
        <v>139</v>
      </c>
      <c r="E30" s="7" t="s">
        <v>140</v>
      </c>
      <c r="F30" s="7" t="s">
        <v>141</v>
      </c>
      <c r="G30" s="7" t="s">
        <v>24</v>
      </c>
      <c r="H30" s="7" t="s">
        <v>57</v>
      </c>
    </row>
  </sheetData>
  <mergeCells count="3">
    <mergeCell ref="A1:N1"/>
    <mergeCell ref="A2:N2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zoomScaleNormal="100" workbookViewId="0">
      <selection sqref="A1:H1"/>
    </sheetView>
  </sheetViews>
  <sheetFormatPr baseColWidth="10" defaultColWidth="8.7109375" defaultRowHeight="15" x14ac:dyDescent="0.25"/>
  <cols>
    <col min="1" max="1" width="12" customWidth="1"/>
    <col min="2" max="2" width="16" customWidth="1"/>
    <col min="3" max="3" width="12" customWidth="1"/>
    <col min="4" max="4" width="14" customWidth="1"/>
    <col min="5" max="5" width="18" customWidth="1"/>
    <col min="6" max="6" width="14" customWidth="1"/>
    <col min="7" max="7" width="12" customWidth="1"/>
    <col min="8" max="8" width="10" customWidth="1"/>
  </cols>
  <sheetData>
    <row r="1" spans="1:8" ht="30" customHeight="1" x14ac:dyDescent="0.25">
      <c r="A1" s="1" t="s">
        <v>142</v>
      </c>
      <c r="B1" s="1"/>
      <c r="C1" s="1"/>
      <c r="D1" s="1"/>
      <c r="E1" s="1"/>
      <c r="F1" s="1"/>
      <c r="G1" s="1"/>
      <c r="H1" s="1"/>
    </row>
    <row r="2" spans="1:8" x14ac:dyDescent="0.25">
      <c r="A2" s="5" t="s">
        <v>143</v>
      </c>
      <c r="B2" s="5" t="s">
        <v>144</v>
      </c>
      <c r="C2" s="5" t="s">
        <v>145</v>
      </c>
      <c r="D2" s="5" t="s">
        <v>146</v>
      </c>
      <c r="E2" s="5" t="s">
        <v>147</v>
      </c>
      <c r="F2" s="5" t="s">
        <v>148</v>
      </c>
      <c r="G2" s="5" t="s">
        <v>149</v>
      </c>
      <c r="H2" s="5" t="s">
        <v>150</v>
      </c>
    </row>
    <row r="3" spans="1:8" ht="18" customHeight="1" x14ac:dyDescent="0.25">
      <c r="A3" s="10" t="s">
        <v>151</v>
      </c>
      <c r="B3" s="10">
        <v>15.2</v>
      </c>
      <c r="C3" s="10">
        <v>1340</v>
      </c>
      <c r="D3" s="10">
        <v>7800</v>
      </c>
      <c r="E3" s="10">
        <v>88.1</v>
      </c>
      <c r="F3" s="10">
        <v>16.2</v>
      </c>
      <c r="G3" s="10">
        <v>280</v>
      </c>
      <c r="H3" s="10">
        <v>44</v>
      </c>
    </row>
    <row r="4" spans="1:8" ht="18" customHeight="1" x14ac:dyDescent="0.25">
      <c r="A4" s="11" t="s">
        <v>152</v>
      </c>
      <c r="B4" s="11">
        <v>16.100000000000001</v>
      </c>
      <c r="C4" s="11">
        <v>1290</v>
      </c>
      <c r="D4" s="11">
        <v>8100</v>
      </c>
      <c r="E4" s="11">
        <v>89.3</v>
      </c>
      <c r="F4" s="11">
        <v>17</v>
      </c>
      <c r="G4" s="11">
        <v>302</v>
      </c>
      <c r="H4" s="11">
        <v>47</v>
      </c>
    </row>
    <row r="5" spans="1:8" ht="18" customHeight="1" x14ac:dyDescent="0.25">
      <c r="A5" s="10" t="s">
        <v>153</v>
      </c>
      <c r="B5" s="10">
        <v>17.5</v>
      </c>
      <c r="C5" s="10">
        <v>1210</v>
      </c>
      <c r="D5" s="10">
        <v>8400</v>
      </c>
      <c r="E5" s="10">
        <v>90.2</v>
      </c>
      <c r="F5" s="10">
        <v>17.8</v>
      </c>
      <c r="G5" s="10">
        <v>326</v>
      </c>
      <c r="H5" s="10">
        <v>50</v>
      </c>
    </row>
    <row r="6" spans="1:8" ht="18" customHeight="1" x14ac:dyDescent="0.25">
      <c r="A6" s="11" t="s">
        <v>154</v>
      </c>
      <c r="B6" s="11">
        <v>18.7</v>
      </c>
      <c r="C6" s="11">
        <v>1087</v>
      </c>
      <c r="D6" s="11">
        <v>8940</v>
      </c>
      <c r="E6" s="11">
        <v>91.2</v>
      </c>
      <c r="F6" s="11">
        <v>19.399999999999999</v>
      </c>
      <c r="G6" s="11">
        <v>352</v>
      </c>
      <c r="H6" s="11">
        <v>55</v>
      </c>
    </row>
    <row r="7" spans="1:8" ht="18" customHeight="1" x14ac:dyDescent="0.25">
      <c r="A7" s="10" t="s">
        <v>155</v>
      </c>
      <c r="B7" s="10">
        <v>19.2</v>
      </c>
      <c r="C7" s="10">
        <v>1050</v>
      </c>
      <c r="D7" s="10">
        <v>9200</v>
      </c>
      <c r="E7" s="10">
        <v>91.8</v>
      </c>
      <c r="F7" s="10">
        <v>19.8</v>
      </c>
      <c r="G7" s="10">
        <v>382</v>
      </c>
      <c r="H7" s="10">
        <v>57</v>
      </c>
    </row>
    <row r="8" spans="1:8" ht="18" customHeight="1" x14ac:dyDescent="0.25">
      <c r="A8" s="11" t="s">
        <v>156</v>
      </c>
      <c r="B8" s="11">
        <v>20</v>
      </c>
      <c r="C8" s="11">
        <v>1000</v>
      </c>
      <c r="D8" s="11">
        <v>9500</v>
      </c>
      <c r="E8" s="11">
        <v>92.5</v>
      </c>
      <c r="F8" s="11">
        <v>20.5</v>
      </c>
      <c r="G8" s="11">
        <v>413</v>
      </c>
      <c r="H8" s="11">
        <v>60</v>
      </c>
    </row>
    <row r="9" spans="1:8" x14ac:dyDescent="0.25">
      <c r="A9" s="12" t="s">
        <v>157</v>
      </c>
      <c r="B9" s="13">
        <v>18</v>
      </c>
      <c r="C9" s="13">
        <v>1200</v>
      </c>
      <c r="D9" s="13">
        <v>8500</v>
      </c>
      <c r="E9" s="13">
        <v>92</v>
      </c>
      <c r="F9" s="13">
        <v>20</v>
      </c>
      <c r="G9" s="13">
        <v>350</v>
      </c>
      <c r="H9" s="13">
        <v>55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Normal="100" workbookViewId="0">
      <selection activeCell="H42" sqref="H42"/>
    </sheetView>
  </sheetViews>
  <sheetFormatPr baseColWidth="10" defaultColWidth="8.7109375" defaultRowHeight="15" x14ac:dyDescent="0.25"/>
  <cols>
    <col min="1" max="1" width="12" customWidth="1"/>
    <col min="2" max="2" width="20" customWidth="1"/>
    <col min="3" max="3" width="38" customWidth="1"/>
    <col min="4" max="4" width="22" customWidth="1"/>
    <col min="5" max="6" width="16" customWidth="1"/>
    <col min="7" max="7" width="12" customWidth="1"/>
  </cols>
  <sheetData>
    <row r="1" spans="1:8" ht="30" customHeight="1" x14ac:dyDescent="0.25">
      <c r="A1" s="1" t="s">
        <v>158</v>
      </c>
      <c r="B1" s="1"/>
      <c r="C1" s="1"/>
      <c r="D1" s="1"/>
      <c r="E1" s="1"/>
      <c r="F1" s="1"/>
      <c r="G1" s="1"/>
      <c r="H1" s="1"/>
    </row>
    <row r="2" spans="1:8" x14ac:dyDescent="0.25">
      <c r="A2" s="5" t="s">
        <v>159</v>
      </c>
      <c r="B2" s="5" t="s">
        <v>160</v>
      </c>
      <c r="C2" s="5" t="s">
        <v>161</v>
      </c>
      <c r="D2" s="5" t="s">
        <v>162</v>
      </c>
      <c r="E2" s="5" t="s">
        <v>163</v>
      </c>
      <c r="F2" s="5" t="s">
        <v>164</v>
      </c>
      <c r="G2" s="5" t="s">
        <v>165</v>
      </c>
    </row>
    <row r="3" spans="1:8" ht="24" customHeight="1" x14ac:dyDescent="0.25">
      <c r="A3" s="14" t="s">
        <v>166</v>
      </c>
      <c r="B3" s="14" t="s">
        <v>167</v>
      </c>
      <c r="C3" s="15" t="s">
        <v>168</v>
      </c>
      <c r="D3" s="15" t="s">
        <v>169</v>
      </c>
      <c r="E3" s="14" t="s">
        <v>170</v>
      </c>
      <c r="F3" s="14" t="s">
        <v>171</v>
      </c>
      <c r="G3" s="14" t="s">
        <v>172</v>
      </c>
    </row>
    <row r="4" spans="1:8" ht="24" customHeight="1" x14ac:dyDescent="0.25">
      <c r="A4" s="14" t="s">
        <v>166</v>
      </c>
      <c r="B4" s="14" t="s">
        <v>167</v>
      </c>
      <c r="C4" s="15" t="s">
        <v>173</v>
      </c>
      <c r="D4" s="15" t="s">
        <v>174</v>
      </c>
      <c r="E4" s="14" t="s">
        <v>175</v>
      </c>
      <c r="F4" s="14" t="s">
        <v>171</v>
      </c>
      <c r="G4" s="14" t="s">
        <v>176</v>
      </c>
    </row>
    <row r="5" spans="1:8" ht="24" customHeight="1" x14ac:dyDescent="0.25">
      <c r="A5" s="14" t="s">
        <v>166</v>
      </c>
      <c r="B5" s="14" t="s">
        <v>167</v>
      </c>
      <c r="C5" s="15" t="s">
        <v>177</v>
      </c>
      <c r="D5" s="15" t="s">
        <v>178</v>
      </c>
      <c r="E5" s="14" t="s">
        <v>179</v>
      </c>
      <c r="F5" s="14" t="s">
        <v>180</v>
      </c>
      <c r="G5" s="14" t="s">
        <v>181</v>
      </c>
    </row>
    <row r="6" spans="1:8" ht="24" customHeight="1" x14ac:dyDescent="0.25">
      <c r="A6" s="14" t="s">
        <v>166</v>
      </c>
      <c r="B6" s="14" t="s">
        <v>167</v>
      </c>
      <c r="C6" s="15" t="s">
        <v>182</v>
      </c>
      <c r="D6" s="15" t="s">
        <v>183</v>
      </c>
      <c r="E6" s="14" t="s">
        <v>184</v>
      </c>
      <c r="F6" s="14" t="s">
        <v>180</v>
      </c>
      <c r="G6" s="14" t="s">
        <v>181</v>
      </c>
    </row>
    <row r="7" spans="1:8" ht="24" customHeight="1" x14ac:dyDescent="0.25">
      <c r="A7" s="14" t="s">
        <v>185</v>
      </c>
      <c r="B7" s="14" t="s">
        <v>167</v>
      </c>
      <c r="C7" s="15" t="s">
        <v>186</v>
      </c>
      <c r="D7" s="15" t="s">
        <v>187</v>
      </c>
      <c r="E7" s="14" t="s">
        <v>188</v>
      </c>
      <c r="F7" s="14" t="s">
        <v>189</v>
      </c>
      <c r="G7" s="14" t="s">
        <v>190</v>
      </c>
    </row>
    <row r="8" spans="1:8" ht="24" customHeight="1" x14ac:dyDescent="0.25">
      <c r="A8" s="16" t="s">
        <v>191</v>
      </c>
      <c r="B8" s="16" t="s">
        <v>192</v>
      </c>
      <c r="C8" s="17" t="s">
        <v>193</v>
      </c>
      <c r="D8" s="17" t="s">
        <v>194</v>
      </c>
      <c r="E8" s="16" t="s">
        <v>195</v>
      </c>
      <c r="F8" s="16" t="s">
        <v>189</v>
      </c>
      <c r="G8" s="16" t="s">
        <v>190</v>
      </c>
    </row>
    <row r="9" spans="1:8" ht="24" customHeight="1" x14ac:dyDescent="0.25">
      <c r="A9" s="16" t="s">
        <v>191</v>
      </c>
      <c r="B9" s="16" t="s">
        <v>192</v>
      </c>
      <c r="C9" s="17" t="s">
        <v>196</v>
      </c>
      <c r="D9" s="17" t="s">
        <v>197</v>
      </c>
      <c r="E9" s="16" t="s">
        <v>198</v>
      </c>
      <c r="F9" s="16" t="s">
        <v>189</v>
      </c>
      <c r="G9" s="16" t="s">
        <v>190</v>
      </c>
    </row>
    <row r="10" spans="1:8" ht="24" customHeight="1" x14ac:dyDescent="0.25">
      <c r="A10" s="16" t="s">
        <v>199</v>
      </c>
      <c r="B10" s="16" t="s">
        <v>192</v>
      </c>
      <c r="C10" s="17" t="s">
        <v>200</v>
      </c>
      <c r="D10" s="17" t="s">
        <v>201</v>
      </c>
      <c r="E10" s="16" t="s">
        <v>170</v>
      </c>
      <c r="F10" s="16" t="s">
        <v>189</v>
      </c>
      <c r="G10" s="16" t="s">
        <v>190</v>
      </c>
    </row>
    <row r="11" spans="1:8" ht="24" customHeight="1" x14ac:dyDescent="0.25">
      <c r="A11" s="16" t="s">
        <v>199</v>
      </c>
      <c r="B11" s="16" t="s">
        <v>192</v>
      </c>
      <c r="C11" s="17" t="s">
        <v>202</v>
      </c>
      <c r="D11" s="17" t="s">
        <v>203</v>
      </c>
      <c r="E11" s="16" t="s">
        <v>175</v>
      </c>
      <c r="F11" s="16" t="s">
        <v>189</v>
      </c>
      <c r="G11" s="16" t="s">
        <v>190</v>
      </c>
    </row>
    <row r="12" spans="1:8" ht="24" customHeight="1" x14ac:dyDescent="0.25">
      <c r="A12" s="18" t="s">
        <v>204</v>
      </c>
      <c r="B12" s="18" t="s">
        <v>205</v>
      </c>
      <c r="C12" s="19" t="s">
        <v>206</v>
      </c>
      <c r="D12" s="19" t="s">
        <v>207</v>
      </c>
      <c r="E12" s="18" t="s">
        <v>208</v>
      </c>
      <c r="F12" s="18" t="s">
        <v>189</v>
      </c>
      <c r="G12" s="18" t="s">
        <v>190</v>
      </c>
    </row>
    <row r="13" spans="1:8" ht="24" customHeight="1" x14ac:dyDescent="0.25">
      <c r="A13" s="18" t="s">
        <v>209</v>
      </c>
      <c r="B13" s="18" t="s">
        <v>205</v>
      </c>
      <c r="C13" s="19" t="s">
        <v>210</v>
      </c>
      <c r="D13" s="19" t="s">
        <v>211</v>
      </c>
      <c r="E13" s="18" t="s">
        <v>195</v>
      </c>
      <c r="F13" s="18" t="s">
        <v>189</v>
      </c>
      <c r="G13" s="18" t="s">
        <v>190</v>
      </c>
    </row>
    <row r="14" spans="1:8" ht="24" customHeight="1" x14ac:dyDescent="0.25">
      <c r="A14" s="10" t="s">
        <v>212</v>
      </c>
      <c r="B14" s="10" t="s">
        <v>213</v>
      </c>
      <c r="C14" s="20" t="s">
        <v>214</v>
      </c>
      <c r="D14" s="20" t="s">
        <v>215</v>
      </c>
      <c r="E14" s="10" t="s">
        <v>216</v>
      </c>
      <c r="F14" s="10" t="s">
        <v>217</v>
      </c>
      <c r="G14" s="10" t="s">
        <v>190</v>
      </c>
    </row>
    <row r="15" spans="1:8" ht="24" customHeight="1" x14ac:dyDescent="0.25">
      <c r="A15" s="10" t="s">
        <v>212</v>
      </c>
      <c r="B15" s="10" t="s">
        <v>213</v>
      </c>
      <c r="C15" s="20" t="s">
        <v>218</v>
      </c>
      <c r="D15" s="20" t="s">
        <v>203</v>
      </c>
      <c r="E15" s="10" t="s">
        <v>219</v>
      </c>
      <c r="F15" s="10" t="s">
        <v>217</v>
      </c>
      <c r="G15" s="10" t="s">
        <v>190</v>
      </c>
    </row>
    <row r="16" spans="1:8" ht="24" customHeight="1" x14ac:dyDescent="0.25">
      <c r="A16" s="10" t="s">
        <v>220</v>
      </c>
      <c r="B16" s="10" t="s">
        <v>213</v>
      </c>
      <c r="C16" s="20" t="s">
        <v>221</v>
      </c>
      <c r="D16" s="20" t="s">
        <v>222</v>
      </c>
      <c r="E16" s="10" t="s">
        <v>195</v>
      </c>
      <c r="F16" s="10" t="s">
        <v>223</v>
      </c>
      <c r="G16" s="10" t="s">
        <v>190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tabSelected="1" zoomScaleNormal="100" workbookViewId="0">
      <selection sqref="A1:H1"/>
    </sheetView>
  </sheetViews>
  <sheetFormatPr baseColWidth="10" defaultColWidth="8.7109375" defaultRowHeight="15" x14ac:dyDescent="0.25"/>
  <cols>
    <col min="1" max="1" width="5" customWidth="1"/>
    <col min="2" max="2" width="38" customWidth="1"/>
    <col min="3" max="3" width="30" customWidth="1"/>
    <col min="4" max="4" width="16" customWidth="1"/>
    <col min="5" max="7" width="12" customWidth="1"/>
    <col min="8" max="8" width="14" customWidth="1"/>
  </cols>
  <sheetData>
    <row r="1" spans="1:8" ht="30" customHeight="1" x14ac:dyDescent="0.25">
      <c r="A1" s="1" t="s">
        <v>224</v>
      </c>
      <c r="B1" s="1"/>
      <c r="C1" s="1"/>
      <c r="D1" s="1"/>
      <c r="E1" s="1"/>
      <c r="F1" s="1"/>
      <c r="G1" s="1"/>
      <c r="H1" s="1"/>
    </row>
    <row r="2" spans="1:8" x14ac:dyDescent="0.25">
      <c r="A2" s="5" t="s">
        <v>225</v>
      </c>
      <c r="B2" s="5" t="s">
        <v>226</v>
      </c>
      <c r="C2" s="5" t="s">
        <v>227</v>
      </c>
      <c r="D2" s="5" t="s">
        <v>228</v>
      </c>
      <c r="E2" s="5" t="s">
        <v>229</v>
      </c>
      <c r="F2" s="5" t="s">
        <v>230</v>
      </c>
      <c r="G2" s="5" t="s">
        <v>231</v>
      </c>
      <c r="H2" s="5" t="s">
        <v>164</v>
      </c>
    </row>
    <row r="3" spans="1:8" ht="19.5" customHeight="1" x14ac:dyDescent="0.25">
      <c r="A3" s="21">
        <v>1</v>
      </c>
      <c r="B3" s="22" t="s">
        <v>232</v>
      </c>
      <c r="C3" s="21" t="s">
        <v>233</v>
      </c>
      <c r="D3" s="21" t="s">
        <v>234</v>
      </c>
      <c r="E3" s="21" t="s">
        <v>235</v>
      </c>
      <c r="F3" s="21" t="s">
        <v>236</v>
      </c>
      <c r="G3" s="21">
        <v>100</v>
      </c>
      <c r="H3" s="21" t="s">
        <v>237</v>
      </c>
    </row>
    <row r="4" spans="1:8" ht="19.5" customHeight="1" x14ac:dyDescent="0.25">
      <c r="A4" s="21">
        <v>2</v>
      </c>
      <c r="B4" s="22" t="s">
        <v>238</v>
      </c>
      <c r="C4" s="21" t="s">
        <v>239</v>
      </c>
      <c r="D4" s="21" t="s">
        <v>240</v>
      </c>
      <c r="E4" s="21" t="s">
        <v>241</v>
      </c>
      <c r="F4" s="21" t="s">
        <v>242</v>
      </c>
      <c r="G4" s="21">
        <v>100</v>
      </c>
      <c r="H4" s="21" t="s">
        <v>237</v>
      </c>
    </row>
    <row r="5" spans="1:8" ht="19.5" customHeight="1" x14ac:dyDescent="0.25">
      <c r="A5" s="21">
        <v>3</v>
      </c>
      <c r="B5" s="22" t="s">
        <v>243</v>
      </c>
      <c r="C5" s="21" t="s">
        <v>244</v>
      </c>
      <c r="D5" s="21" t="s">
        <v>234</v>
      </c>
      <c r="E5" s="21" t="s">
        <v>245</v>
      </c>
      <c r="F5" s="21" t="s">
        <v>246</v>
      </c>
      <c r="G5" s="21">
        <v>100</v>
      </c>
      <c r="H5" s="21" t="s">
        <v>237</v>
      </c>
    </row>
    <row r="6" spans="1:8" ht="19.5" customHeight="1" x14ac:dyDescent="0.25">
      <c r="A6" s="21">
        <v>4</v>
      </c>
      <c r="B6" s="22" t="s">
        <v>247</v>
      </c>
      <c r="C6" s="21" t="s">
        <v>248</v>
      </c>
      <c r="D6" s="21" t="s">
        <v>234</v>
      </c>
      <c r="E6" s="21" t="s">
        <v>249</v>
      </c>
      <c r="F6" s="21" t="s">
        <v>250</v>
      </c>
      <c r="G6" s="21">
        <v>100</v>
      </c>
      <c r="H6" s="21" t="s">
        <v>237</v>
      </c>
    </row>
    <row r="7" spans="1:8" ht="19.5" customHeight="1" x14ac:dyDescent="0.25">
      <c r="A7" s="21">
        <v>5</v>
      </c>
      <c r="B7" s="22" t="s">
        <v>251</v>
      </c>
      <c r="C7" s="21" t="s">
        <v>252</v>
      </c>
      <c r="D7" s="21" t="s">
        <v>240</v>
      </c>
      <c r="E7" s="21" t="s">
        <v>253</v>
      </c>
      <c r="F7" s="21" t="s">
        <v>254</v>
      </c>
      <c r="G7" s="21">
        <v>100</v>
      </c>
      <c r="H7" s="21" t="s">
        <v>237</v>
      </c>
    </row>
    <row r="8" spans="1:8" ht="19.5" customHeight="1" x14ac:dyDescent="0.25">
      <c r="A8" s="21">
        <v>6</v>
      </c>
      <c r="B8" s="22" t="s">
        <v>255</v>
      </c>
      <c r="C8" s="21" t="s">
        <v>256</v>
      </c>
      <c r="D8" s="21" t="s">
        <v>234</v>
      </c>
      <c r="E8" s="21" t="s">
        <v>257</v>
      </c>
      <c r="F8" s="21" t="s">
        <v>258</v>
      </c>
      <c r="G8" s="21">
        <v>100</v>
      </c>
      <c r="H8" s="21" t="s">
        <v>237</v>
      </c>
    </row>
    <row r="9" spans="1:8" ht="19.5" customHeight="1" x14ac:dyDescent="0.25">
      <c r="A9" s="21">
        <v>7</v>
      </c>
      <c r="B9" s="22" t="s">
        <v>259</v>
      </c>
      <c r="C9" s="21" t="s">
        <v>260</v>
      </c>
      <c r="D9" s="21" t="s">
        <v>261</v>
      </c>
      <c r="E9" s="21" t="s">
        <v>262</v>
      </c>
      <c r="F9" s="21" t="s">
        <v>263</v>
      </c>
      <c r="G9" s="21">
        <v>100</v>
      </c>
      <c r="H9" s="21" t="s">
        <v>237</v>
      </c>
    </row>
    <row r="10" spans="1:8" ht="19.5" customHeight="1" x14ac:dyDescent="0.25">
      <c r="A10" s="21">
        <v>8</v>
      </c>
      <c r="B10" s="22" t="s">
        <v>264</v>
      </c>
      <c r="C10" s="21" t="s">
        <v>265</v>
      </c>
      <c r="D10" s="21" t="s">
        <v>266</v>
      </c>
      <c r="E10" s="21" t="s">
        <v>267</v>
      </c>
      <c r="F10" s="21" t="s">
        <v>268</v>
      </c>
      <c r="G10" s="21">
        <v>100</v>
      </c>
      <c r="H10" s="21" t="s">
        <v>237</v>
      </c>
    </row>
    <row r="11" spans="1:8" ht="19.5" customHeight="1" x14ac:dyDescent="0.25">
      <c r="A11" s="16">
        <v>9</v>
      </c>
      <c r="B11" s="17" t="s">
        <v>269</v>
      </c>
      <c r="C11" s="16" t="s">
        <v>270</v>
      </c>
      <c r="D11" s="16" t="s">
        <v>271</v>
      </c>
      <c r="E11" s="16" t="s">
        <v>272</v>
      </c>
      <c r="F11" s="16" t="s">
        <v>273</v>
      </c>
      <c r="G11" s="16">
        <v>85</v>
      </c>
      <c r="H11" s="16" t="s">
        <v>274</v>
      </c>
    </row>
    <row r="12" spans="1:8" ht="19.5" customHeight="1" x14ac:dyDescent="0.25">
      <c r="A12" s="16">
        <v>10</v>
      </c>
      <c r="B12" s="17" t="s">
        <v>275</v>
      </c>
      <c r="C12" s="16" t="s">
        <v>276</v>
      </c>
      <c r="D12" s="16" t="s">
        <v>277</v>
      </c>
      <c r="E12" s="16" t="s">
        <v>278</v>
      </c>
      <c r="F12" s="16" t="s">
        <v>279</v>
      </c>
      <c r="G12" s="16">
        <v>70</v>
      </c>
      <c r="H12" s="16" t="s">
        <v>274</v>
      </c>
    </row>
    <row r="13" spans="1:8" ht="19.5" customHeight="1" x14ac:dyDescent="0.25">
      <c r="A13" s="16">
        <v>11</v>
      </c>
      <c r="B13" s="17" t="s">
        <v>280</v>
      </c>
      <c r="C13" s="16" t="s">
        <v>281</v>
      </c>
      <c r="D13" s="16" t="s">
        <v>240</v>
      </c>
      <c r="E13" s="16" t="s">
        <v>282</v>
      </c>
      <c r="F13" s="16" t="s">
        <v>283</v>
      </c>
      <c r="G13" s="16">
        <v>88</v>
      </c>
      <c r="H13" s="16" t="s">
        <v>274</v>
      </c>
    </row>
    <row r="14" spans="1:8" ht="19.5" customHeight="1" x14ac:dyDescent="0.25">
      <c r="A14" s="10">
        <v>12</v>
      </c>
      <c r="B14" s="20" t="s">
        <v>284</v>
      </c>
      <c r="C14" s="10" t="s">
        <v>285</v>
      </c>
      <c r="D14" s="10" t="s">
        <v>240</v>
      </c>
      <c r="E14" s="10" t="s">
        <v>286</v>
      </c>
      <c r="F14" s="10" t="s">
        <v>287</v>
      </c>
      <c r="G14" s="10">
        <v>0</v>
      </c>
      <c r="H14" s="10" t="s">
        <v>288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 KPIs TD</vt:lpstr>
      <vt:lpstr>📈 Evolución KPIs</vt:lpstr>
      <vt:lpstr>🗺️ Roadmap Tecnológico</vt:lpstr>
      <vt:lpstr>📋 Actividades y Avances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Ruben Andres Reyes Cuellar</cp:lastModifiedBy>
  <cp:revision>1</cp:revision>
  <dcterms:created xsi:type="dcterms:W3CDTF">2026-05-06T03:11:29Z</dcterms:created>
  <dcterms:modified xsi:type="dcterms:W3CDTF">2026-05-06T03:16:01Z</dcterms:modified>
  <dc:language>en-US</dc:language>
</cp:coreProperties>
</file>