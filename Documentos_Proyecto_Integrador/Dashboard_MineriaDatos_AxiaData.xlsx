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rey\Downloads\Documentos_Proyecto_Integrador\"/>
    </mc:Choice>
  </mc:AlternateContent>
  <xr:revisionPtr revIDLastSave="0" documentId="13_ncr:1_{3FE6DA11-39B1-463A-9757-88376DFB0BBD}" xr6:coauthVersionLast="47" xr6:coauthVersionMax="47" xr10:uidLastSave="{00000000-0000-0000-0000-000000000000}"/>
  <bookViews>
    <workbookView xWindow="-120" yWindow="-120" windowWidth="29040" windowHeight="15720" tabRatio="500" firstSheet="1" activeTab="4" xr2:uid="{00000000-000D-0000-FFFF-FFFF00000000}"/>
  </bookViews>
  <sheets>
    <sheet name="📊 Dashboard" sheetId="1" r:id="rId1"/>
    <sheet name="📈 Datos y Análisis" sheetId="2" r:id="rId2"/>
    <sheet name="📋 Actividades y Avances" sheetId="3" r:id="rId3"/>
    <sheet name="🔬 Segmentación y Modelos" sheetId="4" r:id="rId4"/>
    <sheet name="🔧 ETL y Calidad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<sst xmlns="http://schemas.openxmlformats.org/spreadsheetml/2006/main" count="295" uniqueCount="236">
  <si>
    <t>AXIA DATA — MINERÍA DE DATOS | Dashboard Ejecutivo</t>
  </si>
  <si>
    <t>◆  INDICADORES CLAVE — 5 VARIABLES DE NEGOCIO  ◆</t>
  </si>
  <si>
    <t>Variable</t>
  </si>
  <si>
    <t>KPI</t>
  </si>
  <si>
    <t>Valor Actual</t>
  </si>
  <si>
    <t>Meta</t>
  </si>
  <si>
    <t>Estado</t>
  </si>
  <si>
    <t>V1</t>
  </si>
  <si>
    <t>Tasa de Conversión</t>
  </si>
  <si>
    <t>18.7%</t>
  </si>
  <si>
    <t>≥ 18%</t>
  </si>
  <si>
    <t>🟢 Meta</t>
  </si>
  <si>
    <t>V2</t>
  </si>
  <si>
    <t>CAC Global</t>
  </si>
  <si>
    <t>$1,087</t>
  </si>
  <si>
    <t>≤ $1,200</t>
  </si>
  <si>
    <t>V3</t>
  </si>
  <si>
    <t>CLV Promedio</t>
  </si>
  <si>
    <t>$8,940</t>
  </si>
  <si>
    <t>≥ $8,500</t>
  </si>
  <si>
    <t>V4</t>
  </si>
  <si>
    <t>Retención Clientes</t>
  </si>
  <si>
    <t>91.2%</t>
  </si>
  <si>
    <t>≥ 92%</t>
  </si>
  <si>
    <t>🟡 Alerta</t>
  </si>
  <si>
    <t>V5</t>
  </si>
  <si>
    <t>Margen Operativo</t>
  </si>
  <si>
    <t>19.4%</t>
  </si>
  <si>
    <t>≥ 20%</t>
  </si>
  <si>
    <t>◆  DESEMPEÑO DE MODELOS DE MINERÍA DE DATOS  ◆</t>
  </si>
  <si>
    <t>Modelo</t>
  </si>
  <si>
    <t>Algoritmo</t>
  </si>
  <si>
    <t>Métrica Principal</t>
  </si>
  <si>
    <t>Valor</t>
  </si>
  <si>
    <t>Última Actualización</t>
  </si>
  <si>
    <t>Predictor Conversión</t>
  </si>
  <si>
    <t>V1 — Conversión</t>
  </si>
  <si>
    <t>Random Forest</t>
  </si>
  <si>
    <t>AUC-ROC</t>
  </si>
  <si>
    <t>0.87</t>
  </si>
  <si>
    <t>≥ 0.85</t>
  </si>
  <si>
    <t>✅ OK</t>
  </si>
  <si>
    <t>Abr-2025</t>
  </si>
  <si>
    <t>Estimador CAC</t>
  </si>
  <si>
    <t>V2 — CAC</t>
  </si>
  <si>
    <t>Regresión Múltiple</t>
  </si>
  <si>
    <t>R²</t>
  </si>
  <si>
    <t>0.83</t>
  </si>
  <si>
    <t>≥ 0.80</t>
  </si>
  <si>
    <t>Proyector CLV</t>
  </si>
  <si>
    <t>V3 — CLV</t>
  </si>
  <si>
    <t>Gradient Boosting</t>
  </si>
  <si>
    <t>MAE</t>
  </si>
  <si>
    <t>$145</t>
  </si>
  <si>
    <t>≤ $200</t>
  </si>
  <si>
    <t>Mar-2025</t>
  </si>
  <si>
    <t>Predictor Churn</t>
  </si>
  <si>
    <t>V4 — Retención</t>
  </si>
  <si>
    <t>XGBoost</t>
  </si>
  <si>
    <t>F1-Score</t>
  </si>
  <si>
    <t>0.84</t>
  </si>
  <si>
    <t>Forecaster Margen</t>
  </si>
  <si>
    <t>V5 — Margen</t>
  </si>
  <si>
    <t>ARIMA+LSTM</t>
  </si>
  <si>
    <t>MAPE</t>
  </si>
  <si>
    <t>4.2%</t>
  </si>
  <si>
    <t>≤ 8%</t>
  </si>
  <si>
    <t>◆  MÉTRICAS DE CALIDAD DEL DATO  ◆</t>
  </si>
  <si>
    <t>Dimensión</t>
  </si>
  <si>
    <t>Descripción</t>
  </si>
  <si>
    <t>Umbral</t>
  </si>
  <si>
    <t>Δ vs. Meta</t>
  </si>
  <si>
    <t>Completitud</t>
  </si>
  <si>
    <t>Campos sin nulos</t>
  </si>
  <si>
    <t>≥ 95%</t>
  </si>
  <si>
    <t>97.3%</t>
  </si>
  <si>
    <t>+2.3%</t>
  </si>
  <si>
    <t>✅</t>
  </si>
  <si>
    <t>Unicidad</t>
  </si>
  <si>
    <t>Sin duplicados</t>
  </si>
  <si>
    <t>≥ 99%</t>
  </si>
  <si>
    <t>99.6%</t>
  </si>
  <si>
    <t>+0.6%</t>
  </si>
  <si>
    <t>Consistencia</t>
  </si>
  <si>
    <t>Formatos uniformes</t>
  </si>
  <si>
    <t>≥ 98%</t>
  </si>
  <si>
    <t>98.7%</t>
  </si>
  <si>
    <t>+0.7%</t>
  </si>
  <si>
    <t>Exactitud</t>
  </si>
  <si>
    <t>Correspondencia fuente</t>
  </si>
  <si>
    <t>≥ 96%</t>
  </si>
  <si>
    <t>96.8%</t>
  </si>
  <si>
    <t>+0.8%</t>
  </si>
  <si>
    <t>Oportunidad</t>
  </si>
  <si>
    <t>SLA de actualización</t>
  </si>
  <si>
    <t>≤ 4 hrs</t>
  </si>
  <si>
    <t>2.1 hrs</t>
  </si>
  <si>
    <t>-1.9 hrs</t>
  </si>
  <si>
    <t>AXIA DATA — Datos Históricos de Variables de Negocio (Ene–Jun 2025)</t>
  </si>
  <si>
    <t>Mes</t>
  </si>
  <si>
    <t>V1 - Conversión (%)</t>
  </si>
  <si>
    <t>V2 - CAC ($)</t>
  </si>
  <si>
    <t>V3 - CLV ($)</t>
  </si>
  <si>
    <t>V4 - Retención (%)</t>
  </si>
  <si>
    <t>V5 - Margen (%)</t>
  </si>
  <si>
    <t>Enero</t>
  </si>
  <si>
    <t>Febrero</t>
  </si>
  <si>
    <t>Marzo</t>
  </si>
  <si>
    <t>Abril</t>
  </si>
  <si>
    <t>Mayo</t>
  </si>
  <si>
    <t>Junio</t>
  </si>
  <si>
    <t>META</t>
  </si>
  <si>
    <t>AXIA DATA — Plan de Actividades — Minería de Datos</t>
  </si>
  <si>
    <t>#</t>
  </si>
  <si>
    <t>Actividad</t>
  </si>
  <si>
    <t>Entregable</t>
  </si>
  <si>
    <t>Responsable</t>
  </si>
  <si>
    <t>Fecha Inicio</t>
  </si>
  <si>
    <t>Fecha Fin</t>
  </si>
  <si>
    <t>Avance (%)</t>
  </si>
  <si>
    <t>Análisis exploratorio de datos (EDA)</t>
  </si>
  <si>
    <t>Informe EDA con gráficos</t>
  </si>
  <si>
    <t>Equipo Data</t>
  </si>
  <si>
    <t>01/02/2025</t>
  </si>
  <si>
    <t>15/02/2025</t>
  </si>
  <si>
    <t>✅ Completado</t>
  </si>
  <si>
    <t>Diseño del pipeline ETL (Bronze→Gold)</t>
  </si>
  <si>
    <t>Documentación arquitectura</t>
  </si>
  <si>
    <t>Brayan Prieto</t>
  </si>
  <si>
    <t>16/02/2025</t>
  </si>
  <si>
    <t>28/02/2025</t>
  </si>
  <si>
    <t>Implementación pipeline ETL</t>
  </si>
  <si>
    <t>Scripts Python funcionales</t>
  </si>
  <si>
    <t>01/03/2025</t>
  </si>
  <si>
    <t>15/03/2025</t>
  </si>
  <si>
    <t>Modelo predictivo de conversión (V1)</t>
  </si>
  <si>
    <t>Modelo RF entrenado, AUC=0.87</t>
  </si>
  <si>
    <t>Data Scientist</t>
  </si>
  <si>
    <t>16/03/2025</t>
  </si>
  <si>
    <t>31/03/2025</t>
  </si>
  <si>
    <t>Modelo predictor de churn (V4)</t>
  </si>
  <si>
    <t>Modelo XGBoost, F1=0.84</t>
  </si>
  <si>
    <t>01/04/2025</t>
  </si>
  <si>
    <t>15/04/2025</t>
  </si>
  <si>
    <t>Segmentación K-Means (5 segmentos)</t>
  </si>
  <si>
    <t>Clusters con silhouette=0.68</t>
  </si>
  <si>
    <t>16/04/2025</t>
  </si>
  <si>
    <t>25/04/2025</t>
  </si>
  <si>
    <t>Reglas de asociación Apriori</t>
  </si>
  <si>
    <t>12 reglas con lift&gt;1.5</t>
  </si>
  <si>
    <t>26/04/2025</t>
  </si>
  <si>
    <t>05/05/2025</t>
  </si>
  <si>
    <t>Forecaster margen operativo (V5)</t>
  </si>
  <si>
    <t>Modelo ARIMA+LSTM, MAPE=4.2%</t>
  </si>
  <si>
    <t>06/05/2025</t>
  </si>
  <si>
    <t>20/05/2025</t>
  </si>
  <si>
    <t>Integración con dashboard Power BI</t>
  </si>
  <si>
    <t>Dashboard ejecutivo live</t>
  </si>
  <si>
    <t>21/05/2025</t>
  </si>
  <si>
    <t>31/05/2025</t>
  </si>
  <si>
    <t>🔄 En Proceso</t>
  </si>
  <si>
    <t>Documentación técnica final</t>
  </si>
  <si>
    <t>Documento Word al 100%</t>
  </si>
  <si>
    <t>Todo el equipo</t>
  </si>
  <si>
    <t>01/06/2025</t>
  </si>
  <si>
    <t>15/06/2025</t>
  </si>
  <si>
    <t>Validación y pruebas de calidad</t>
  </si>
  <si>
    <t>Informe de QA</t>
  </si>
  <si>
    <t>QA Lead</t>
  </si>
  <si>
    <t>16/06/2025</t>
  </si>
  <si>
    <t>25/06/2025</t>
  </si>
  <si>
    <t>Presentación final al docente</t>
  </si>
  <si>
    <t>Presentación ejecutiva</t>
  </si>
  <si>
    <t>26/06/2025</t>
  </si>
  <si>
    <t>30/06/2025</t>
  </si>
  <si>
    <t>⏳ Pendiente</t>
  </si>
  <si>
    <t>PROGRESO GENERAL DEL PROYECTO:</t>
  </si>
  <si>
    <t>87% — Excelente avance</t>
  </si>
  <si>
    <t>AXIA DATA — Resultados de Segmentación K-Means y Desempeño de Modelos</t>
  </si>
  <si>
    <t>SEGMENTACIÓN K-MEANS — 5 SEGMENTOS (Silhouette Score: 0.68)</t>
  </si>
  <si>
    <t>Segmento</t>
  </si>
  <si>
    <t>% Cartera</t>
  </si>
  <si>
    <t>Tasa Conversión</t>
  </si>
  <si>
    <t>Retención</t>
  </si>
  <si>
    <t>CLV Promedio ($)</t>
  </si>
  <si>
    <t>CAC ($)</t>
  </si>
  <si>
    <t>Estrategia</t>
  </si>
  <si>
    <t>Champion (Campeones)</t>
  </si>
  <si>
    <t>15%</t>
  </si>
  <si>
    <t>68%</t>
  </si>
  <si>
    <t>94%</t>
  </si>
  <si>
    <t>$14,500</t>
  </si>
  <si>
    <t>$890</t>
  </si>
  <si>
    <t>VIP, upselling, embajadores</t>
  </si>
  <si>
    <t>Loyal (Leales)</t>
  </si>
  <si>
    <t>28%</t>
  </si>
  <si>
    <t>45%</t>
  </si>
  <si>
    <t>87%</t>
  </si>
  <si>
    <t>$9,200</t>
  </si>
  <si>
    <t>$1,050</t>
  </si>
  <si>
    <t>Cross-selling, beneficios lealtad</t>
  </si>
  <si>
    <t>Potential (Potenciales)</t>
  </si>
  <si>
    <t>22%</t>
  </si>
  <si>
    <t>52%</t>
  </si>
  <si>
    <t>72%</t>
  </si>
  <si>
    <t>$6,800</t>
  </si>
  <si>
    <t>$1,180</t>
  </si>
  <si>
    <t>Nurturing, educación producto</t>
  </si>
  <si>
    <t>At Risk (En Riesgo)</t>
  </si>
  <si>
    <t>20%</t>
  </si>
  <si>
    <t>$4,200</t>
  </si>
  <si>
    <t>$1,320</t>
  </si>
  <si>
    <t>Alertas proactivas, descuentos</t>
  </si>
  <si>
    <t>Churned (Perdidos)</t>
  </si>
  <si>
    <t>18%</t>
  </si>
  <si>
    <t>$1,800</t>
  </si>
  <si>
    <t>$1,480</t>
  </si>
  <si>
    <t>Win-back campaigns</t>
  </si>
  <si>
    <t>Distribución Segmentos</t>
  </si>
  <si>
    <t>DESEMPEÑO DE MODELOS ML</t>
  </si>
  <si>
    <t>Métrica</t>
  </si>
  <si>
    <t>Random Forest V1</t>
  </si>
  <si>
    <t>Regresión V2</t>
  </si>
  <si>
    <t>GBR V3</t>
  </si>
  <si>
    <t>MAE (USD)</t>
  </si>
  <si>
    <t>XGBoost V4</t>
  </si>
  <si>
    <t>ARIMA+LSTM V5</t>
  </si>
  <si>
    <t>MAPE (%)</t>
  </si>
  <si>
    <t>AXIA DATA — Pipeline ETL y Métricas de Calidad del Dato</t>
  </si>
  <si>
    <t>EVOLUCIÓN MENSUAL — CALIDAD DEL DATO (Bronze → Gold)</t>
  </si>
  <si>
    <t>Completitud (%)</t>
  </si>
  <si>
    <t>Unicidad (%)</t>
  </si>
  <si>
    <t>Consistencia (%)</t>
  </si>
  <si>
    <t>Exactitud (%)</t>
  </si>
  <si>
    <t>Oportunidad (hrs)</t>
  </si>
  <si>
    <t>Fundación Universitaria San Mateo  •  X Semestre — Grupo 01N31  •  Docente: Se me olvido el nombre de la profe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</si>
</sst>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8C1F28"/>
      <name val="Arial"/>
      <charset val="1"/>
    </font>
    <font>
      <sz val="10"/>
      <color rgb="FF1A1A1A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b/>
      <sz val="10"/>
      <color rgb="FF1A1A1A"/>
      <name val="Arial"/>
      <charset val="1"/>
    </font>
    <font>
      <b/>
      <sz val="11"/>
      <color rgb="FF8C1F28"/>
      <name val="Arial"/>
      <charset val="1"/>
    </font>
    <font>
      <b/>
      <sz val="13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8C1F28"/>
        <bgColor rgb="FF993366"/>
      </patternFill>
    </fill>
    <fill>
      <patternFill patternType="solid">
        <fgColor rgb="FFB36D00"/>
        <bgColor rgb="FFD4820A"/>
      </patternFill>
    </fill>
    <fill>
      <patternFill patternType="solid">
        <fgColor rgb="FFD4820A"/>
        <bgColor rgb="FFB36D00"/>
      </patternFill>
    </fill>
    <fill>
      <patternFill patternType="solid">
        <fgColor rgb="FFF0FFF4"/>
        <bgColor rgb="FFF4F4F4"/>
      </patternFill>
    </fill>
    <fill>
      <patternFill patternType="solid">
        <fgColor rgb="FFF9ECED"/>
        <bgColor rgb="FFFDF3E3"/>
      </patternFill>
    </fill>
    <fill>
      <patternFill patternType="solid">
        <fgColor rgb="FFF4F4F4"/>
        <bgColor rgb="FFF9ECED"/>
      </patternFill>
    </fill>
    <fill>
      <patternFill patternType="solid">
        <fgColor rgb="FFFFFFFF"/>
        <bgColor rgb="FFF0FFF4"/>
      </patternFill>
    </fill>
    <fill>
      <patternFill patternType="solid">
        <fgColor rgb="FFFDF3E3"/>
        <bgColor rgb="FFF9ECED"/>
      </patternFill>
    </fill>
    <fill>
      <patternFill patternType="solid">
        <fgColor rgb="FFE8F5E9"/>
        <bgColor rgb="FFF4F4F4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7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36D00"/>
      <rgbColor rgb="FF800080"/>
      <rgbColor rgb="FF008080"/>
      <rgbColor rgb="FFCCCCCC"/>
      <rgbColor rgb="FF878787"/>
      <rgbColor rgb="FF9999FF"/>
      <rgbColor rgb="FFC0504D"/>
      <rgbColor rgb="FFFDF3E3"/>
      <rgbColor rgb="FFE8F5E9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FF4"/>
      <rgbColor rgb="FFF4F4F4"/>
      <rgbColor rgb="FFF9ECED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D4820A"/>
      <rgbColor rgb="FFFF6600"/>
      <rgbColor rgb="FF8064A2"/>
      <rgbColor rgb="FF969696"/>
      <rgbColor rgb="FF003366"/>
      <rgbColor rgb="FF2E7D32"/>
      <rgbColor rgb="FF003300"/>
      <rgbColor rgb="FF333300"/>
      <rgbColor rgb="FF8C1F28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Evolución V1 — Tasa de Conversión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Datos y Análisis'!$B$2</c:f>
              <c:strCache>
                <c:ptCount val="1"/>
                <c:pt idx="0">
                  <c:v>V1 - Conversión (%)</c:v>
                </c:pt>
              </c:strCache>
            </c:strRef>
          </c:tx>
          <c:spPr>
            <a:ln w="24840">
              <a:solidFill>
                <a:srgbClr val="8C1F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Datos y Análisis'!$A$3:$A$8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'📈 Datos y Análisis'!$B$3:$B$8</c:f>
              <c:numCache>
                <c:formatCode>General</c:formatCode>
                <c:ptCount val="6"/>
                <c:pt idx="0">
                  <c:v>15.2</c:v>
                </c:pt>
                <c:pt idx="1">
                  <c:v>16.100000000000001</c:v>
                </c:pt>
                <c:pt idx="2">
                  <c:v>17.5</c:v>
                </c:pt>
                <c:pt idx="3">
                  <c:v>18.7</c:v>
                </c:pt>
                <c:pt idx="4">
                  <c:v>19.2</c:v>
                </c:pt>
                <c:pt idx="5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9F-4527-84FC-A70425968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928819"/>
        <c:axId val="94184717"/>
      </c:lineChart>
      <c:catAx>
        <c:axId val="779288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94184717"/>
        <c:crosses val="autoZero"/>
        <c:auto val="1"/>
        <c:lblAlgn val="ctr"/>
        <c:lblOffset val="100"/>
        <c:noMultiLvlLbl val="0"/>
      </c:catAx>
      <c:valAx>
        <c:axId val="941847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Conversión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779288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Evolución V2 — CAC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Datos y Análisis'!$C$2</c:f>
              <c:strCache>
                <c:ptCount val="1"/>
                <c:pt idx="0">
                  <c:v>V2 - CAC ($)</c:v>
                </c:pt>
              </c:strCache>
            </c:strRef>
          </c:tx>
          <c:spPr>
            <a:solidFill>
              <a:srgbClr val="D4820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Datos y Análisis'!$A$3:$A$8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'📈 Datos y Análisis'!$C$3:$C$8</c:f>
              <c:numCache>
                <c:formatCode>General</c:formatCode>
                <c:ptCount val="6"/>
                <c:pt idx="0">
                  <c:v>1340</c:v>
                </c:pt>
                <c:pt idx="1">
                  <c:v>1290</c:v>
                </c:pt>
                <c:pt idx="2">
                  <c:v>1210</c:v>
                </c:pt>
                <c:pt idx="3">
                  <c:v>1087</c:v>
                </c:pt>
                <c:pt idx="4">
                  <c:v>1050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7-4B03-824A-BF4EF68AB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031575"/>
        <c:axId val="24029603"/>
      </c:barChart>
      <c:catAx>
        <c:axId val="830315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24029603"/>
        <c:crosses val="autoZero"/>
        <c:auto val="1"/>
        <c:lblAlgn val="ctr"/>
        <c:lblOffset val="100"/>
        <c:noMultiLvlLbl val="0"/>
      </c:catAx>
      <c:valAx>
        <c:axId val="240296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CAC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830315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V4 Retención vs. V5 Margen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Datos y Análisis'!$E$2</c:f>
              <c:strCache>
                <c:ptCount val="1"/>
                <c:pt idx="0">
                  <c:v>V4 - Retención (%)</c:v>
                </c:pt>
              </c:strCache>
            </c:strRef>
          </c:tx>
          <c:spPr>
            <a:ln w="28440">
              <a:solidFill>
                <a:srgbClr val="8C1F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Datos y Análisis'!$A$3:$A$8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'📈 Datos y Análisis'!$E$3:$E$8</c:f>
              <c:numCache>
                <c:formatCode>General</c:formatCode>
                <c:ptCount val="6"/>
                <c:pt idx="0">
                  <c:v>88.1</c:v>
                </c:pt>
                <c:pt idx="1">
                  <c:v>89.3</c:v>
                </c:pt>
                <c:pt idx="2">
                  <c:v>90.2</c:v>
                </c:pt>
                <c:pt idx="3">
                  <c:v>91.2</c:v>
                </c:pt>
                <c:pt idx="4">
                  <c:v>92.1</c:v>
                </c:pt>
                <c:pt idx="5">
                  <c:v>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C7-4812-85AE-223E673994EA}"/>
            </c:ext>
          </c:extLst>
        </c:ser>
        <c:ser>
          <c:idx val="1"/>
          <c:order val="1"/>
          <c:tx>
            <c:strRef>
              <c:f>'📈 Datos y Análisis'!$F$2</c:f>
              <c:strCache>
                <c:ptCount val="1"/>
                <c:pt idx="0">
                  <c:v>V5 - Margen (%)</c:v>
                </c:pt>
              </c:strCache>
            </c:strRef>
          </c:tx>
          <c:spPr>
            <a:ln w="28440">
              <a:solidFill>
                <a:srgbClr val="D4820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Datos y Análisis'!$A$3:$A$8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'📈 Datos y Análisis'!$F$3:$F$8</c:f>
              <c:numCache>
                <c:formatCode>General</c:formatCode>
                <c:ptCount val="6"/>
                <c:pt idx="0">
                  <c:v>16.2</c:v>
                </c:pt>
                <c:pt idx="1">
                  <c:v>17</c:v>
                </c:pt>
                <c:pt idx="2">
                  <c:v>17.8</c:v>
                </c:pt>
                <c:pt idx="3">
                  <c:v>19.399999999999999</c:v>
                </c:pt>
                <c:pt idx="4">
                  <c:v>20.100000000000001</c:v>
                </c:pt>
                <c:pt idx="5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C7-4812-85AE-223E67399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0109025"/>
        <c:axId val="46651478"/>
      </c:lineChart>
      <c:catAx>
        <c:axId val="301090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46651478"/>
        <c:crosses val="autoZero"/>
        <c:auto val="1"/>
        <c:lblAlgn val="ctr"/>
        <c:lblOffset val="100"/>
        <c:noMultiLvlLbl val="0"/>
      </c:catAx>
      <c:valAx>
        <c:axId val="466514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301090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Avance por Actividad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'📋 Actividades y Avances'!$G$2</c:f>
              <c:strCache>
                <c:ptCount val="1"/>
                <c:pt idx="0">
                  <c:v>Avance (%)</c:v>
                </c:pt>
              </c:strCache>
            </c:strRef>
          </c:tx>
          <c:spPr>
            <a:solidFill>
              <a:srgbClr val="8C1F2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'📋 Actividades y Avances'!$B$3:$B$14</c:f>
              <c:strCache>
                <c:ptCount val="12"/>
                <c:pt idx="0">
                  <c:v>Análisis exploratorio de datos (EDA)</c:v>
                </c:pt>
                <c:pt idx="1">
                  <c:v>Diseño del pipeline ETL (Bronze→Gold)</c:v>
                </c:pt>
                <c:pt idx="2">
                  <c:v>Implementación pipeline ETL</c:v>
                </c:pt>
                <c:pt idx="3">
                  <c:v>Modelo predictivo de conversión (V1)</c:v>
                </c:pt>
                <c:pt idx="4">
                  <c:v>Modelo predictor de churn (V4)</c:v>
                </c:pt>
                <c:pt idx="5">
                  <c:v>Segmentación K-Means (5 segmentos)</c:v>
                </c:pt>
                <c:pt idx="6">
                  <c:v>Reglas de asociación Apriori</c:v>
                </c:pt>
                <c:pt idx="7">
                  <c:v>Forecaster margen operativo (V5)</c:v>
                </c:pt>
                <c:pt idx="8">
                  <c:v>Integración con dashboard Power BI</c:v>
                </c:pt>
                <c:pt idx="9">
                  <c:v>Documentación técnica final</c:v>
                </c:pt>
                <c:pt idx="10">
                  <c:v>Validación y pruebas de calidad</c:v>
                </c:pt>
                <c:pt idx="11">
                  <c:v>Presentación final al docente</c:v>
                </c:pt>
              </c:strCache>
            </c:strRef>
          </c:cat>
          <c:val>
            <c:numRef>
              <c:f>'📋 Actividades y Avances'!$G$3:$G$14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85</c:v>
                </c:pt>
                <c:pt idx="9">
                  <c:v>90</c:v>
                </c:pt>
                <c:pt idx="10">
                  <c:v>60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A-428D-820A-E10C43A1D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33464"/>
        <c:axId val="28645162"/>
      </c:barChart>
      <c:catAx>
        <c:axId val="1163346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Avance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28645162"/>
        <c:crosses val="autoZero"/>
        <c:auto val="1"/>
        <c:lblAlgn val="ctr"/>
        <c:lblOffset val="100"/>
        <c:noMultiLvlLbl val="0"/>
      </c:catAx>
      <c:valAx>
        <c:axId val="286451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Actividad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16334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Distribución de Segmentos K-Means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'🔬 Segmentación y Modelos'!$B$11</c:f>
              <c:strCache>
                <c:ptCount val="1"/>
                <c:pt idx="0">
                  <c:v>% Cartera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AE8-4E5A-B377-E0D687640E1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AE8-4E5A-B377-E0D687640E1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AE8-4E5A-B377-E0D687640E1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AE8-4E5A-B377-E0D687640E18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AE8-4E5A-B377-E0D687640E1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AE8-4E5A-B377-E0D687640E1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AE8-4E5A-B377-E0D687640E1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AE8-4E5A-B377-E0D687640E1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AE8-4E5A-B377-E0D687640E1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3AE8-4E5A-B377-E0D687640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'🔬 Segmentación y Modelos'!$B$12:$B$16</c:f>
              <c:numCache>
                <c:formatCode>General</c:formatCode>
                <c:ptCount val="5"/>
                <c:pt idx="0">
                  <c:v>15</c:v>
                </c:pt>
                <c:pt idx="1">
                  <c:v>28</c:v>
                </c:pt>
                <c:pt idx="2">
                  <c:v>22</c:v>
                </c:pt>
                <c:pt idx="3">
                  <c:v>20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E8-4E5A-B377-E0D687640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 rtl="0"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AUC-ROC / F1-Score por Modelo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'🔬 Segmentación y Modelos'!$G$12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D4820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'🔬 Segmentación y Modelos'!$E$13:$E$17</c:f>
              <c:strCache>
                <c:ptCount val="5"/>
                <c:pt idx="0">
                  <c:v>Random Forest V1</c:v>
                </c:pt>
                <c:pt idx="1">
                  <c:v>Regresión V2</c:v>
                </c:pt>
                <c:pt idx="2">
                  <c:v>GBR V3</c:v>
                </c:pt>
                <c:pt idx="3">
                  <c:v>XGBoost V4</c:v>
                </c:pt>
                <c:pt idx="4">
                  <c:v>ARIMA+LSTM V5</c:v>
                </c:pt>
              </c:strCache>
            </c:strRef>
          </c:cat>
          <c:val>
            <c:numRef>
              <c:f>'🔬 Segmentación y Modelos'!$G$13:$G$17</c:f>
              <c:numCache>
                <c:formatCode>General</c:formatCode>
                <c:ptCount val="5"/>
                <c:pt idx="0">
                  <c:v>0.87</c:v>
                </c:pt>
                <c:pt idx="1">
                  <c:v>0.83</c:v>
                </c:pt>
                <c:pt idx="2">
                  <c:v>145</c:v>
                </c:pt>
                <c:pt idx="3">
                  <c:v>0.84</c:v>
                </c:pt>
                <c:pt idx="4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A-44FA-91CC-3DF15153A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692924"/>
        <c:axId val="19190515"/>
      </c:barChart>
      <c:catAx>
        <c:axId val="276929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9190515"/>
        <c:crosses val="autoZero"/>
        <c:auto val="1"/>
        <c:lblAlgn val="ctr"/>
        <c:lblOffset val="100"/>
        <c:noMultiLvlLbl val="0"/>
      </c:catAx>
      <c:valAx>
        <c:axId val="191905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276929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Evolución de Calidad del Dato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'🔧 ETL y Calidad'!$B$4</c:f>
              <c:strCache>
                <c:ptCount val="1"/>
                <c:pt idx="0">
                  <c:v>Completitud (%)</c:v>
                </c:pt>
              </c:strCache>
            </c:strRef>
          </c:tx>
          <c:spPr>
            <a:ln w="28440">
              <a:solidFill>
                <a:srgbClr val="8C1F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'🔧 ETL y Calidad'!$A$5:$A$10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'🔧 ETL y Calidad'!$B$5:$B$10</c:f>
              <c:numCache>
                <c:formatCode>General</c:formatCode>
                <c:ptCount val="6"/>
                <c:pt idx="0">
                  <c:v>91.2</c:v>
                </c:pt>
                <c:pt idx="1">
                  <c:v>93</c:v>
                </c:pt>
                <c:pt idx="2">
                  <c:v>94.5</c:v>
                </c:pt>
                <c:pt idx="3">
                  <c:v>97.3</c:v>
                </c:pt>
                <c:pt idx="4">
                  <c:v>97.8</c:v>
                </c:pt>
                <c:pt idx="5">
                  <c:v>98.1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15-485B-B745-A60F883A7CA9}"/>
            </c:ext>
          </c:extLst>
        </c:ser>
        <c:ser>
          <c:idx val="1"/>
          <c:order val="1"/>
          <c:tx>
            <c:strRef>
              <c:f>'🔧 ETL y Calidad'!$C$4</c:f>
              <c:strCache>
                <c:ptCount val="1"/>
                <c:pt idx="0">
                  <c:v>Unicidad (%)</c:v>
                </c:pt>
              </c:strCache>
            </c:strRef>
          </c:tx>
          <c:spPr>
            <a:ln w="28440">
              <a:solidFill>
                <a:srgbClr val="D4820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'🔧 ETL y Calidad'!$A$5:$A$10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'🔧 ETL y Calidad'!$C$5:$C$10</c:f>
              <c:numCache>
                <c:formatCode>General</c:formatCode>
                <c:ptCount val="6"/>
                <c:pt idx="0">
                  <c:v>98.1</c:v>
                </c:pt>
                <c:pt idx="1">
                  <c:v>98.8</c:v>
                </c:pt>
                <c:pt idx="2">
                  <c:v>99.1</c:v>
                </c:pt>
                <c:pt idx="3">
                  <c:v>99.6</c:v>
                </c:pt>
                <c:pt idx="4">
                  <c:v>99.7</c:v>
                </c:pt>
                <c:pt idx="5">
                  <c:v>99.8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315-485B-B745-A60F883A7CA9}"/>
            </c:ext>
          </c:extLst>
        </c:ser>
        <c:ser>
          <c:idx val="2"/>
          <c:order val="2"/>
          <c:tx>
            <c:strRef>
              <c:f>'🔧 ETL y Calidad'!$D$4</c:f>
              <c:strCache>
                <c:ptCount val="1"/>
                <c:pt idx="0">
                  <c:v>Consistencia (%)</c:v>
                </c:pt>
              </c:strCache>
            </c:strRef>
          </c:tx>
          <c:spPr>
            <a:ln w="2844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'🔧 ETL y Calidad'!$A$5:$A$10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'🔧 ETL y Calidad'!$D$5:$D$10</c:f>
              <c:numCache>
                <c:formatCode>General</c:formatCode>
                <c:ptCount val="6"/>
                <c:pt idx="0">
                  <c:v>95</c:v>
                </c:pt>
                <c:pt idx="1">
                  <c:v>96.1</c:v>
                </c:pt>
                <c:pt idx="2">
                  <c:v>97</c:v>
                </c:pt>
                <c:pt idx="3">
                  <c:v>98.7</c:v>
                </c:pt>
                <c:pt idx="4">
                  <c:v>98.9</c:v>
                </c:pt>
                <c:pt idx="5">
                  <c:v>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315-485B-B745-A60F883A7CA9}"/>
            </c:ext>
          </c:extLst>
        </c:ser>
        <c:ser>
          <c:idx val="3"/>
          <c:order val="3"/>
          <c:tx>
            <c:strRef>
              <c:f>'🔧 ETL y Calidad'!$E$4</c:f>
              <c:strCache>
                <c:ptCount val="1"/>
                <c:pt idx="0">
                  <c:v>Exactitud (%)</c:v>
                </c:pt>
              </c:strCache>
            </c:strRef>
          </c:tx>
          <c:spPr>
            <a:ln w="2844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'🔧 ETL y Calidad'!$A$5:$A$10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'🔧 ETL y Calidad'!$E$5:$E$10</c:f>
              <c:numCache>
                <c:formatCode>General</c:formatCode>
                <c:ptCount val="6"/>
                <c:pt idx="0">
                  <c:v>93.2</c:v>
                </c:pt>
                <c:pt idx="1">
                  <c:v>94.1</c:v>
                </c:pt>
                <c:pt idx="2">
                  <c:v>95.2</c:v>
                </c:pt>
                <c:pt idx="3">
                  <c:v>96.8</c:v>
                </c:pt>
                <c:pt idx="4">
                  <c:v>97.1</c:v>
                </c:pt>
                <c:pt idx="5">
                  <c:v>97.4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315-485B-B745-A60F883A7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3386902"/>
        <c:axId val="3812043"/>
      </c:lineChart>
      <c:catAx>
        <c:axId val="733869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3812043"/>
        <c:crosses val="autoZero"/>
        <c:auto val="1"/>
        <c:lblAlgn val="ctr"/>
        <c:lblOffset val="100"/>
        <c:noMultiLvlLbl val="0"/>
      </c:catAx>
      <c:valAx>
        <c:axId val="38120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733869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714960</xdr:colOff>
      <xdr:row>31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</xdr:row>
      <xdr:rowOff>19050</xdr:rowOff>
    </xdr:from>
    <xdr:to>
      <xdr:col>17</xdr:col>
      <xdr:colOff>473040</xdr:colOff>
      <xdr:row>22</xdr:row>
      <xdr:rowOff>109470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23</xdr:row>
      <xdr:rowOff>9525</xdr:rowOff>
    </xdr:from>
    <xdr:to>
      <xdr:col>20</xdr:col>
      <xdr:colOff>55605</xdr:colOff>
      <xdr:row>45</xdr:row>
      <xdr:rowOff>138405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5</xdr:col>
      <xdr:colOff>659520</xdr:colOff>
      <xdr:row>44</xdr:row>
      <xdr:rowOff>86760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68535</xdr:rowOff>
    </xdr:from>
    <xdr:to>
      <xdr:col>4</xdr:col>
      <xdr:colOff>669600</xdr:colOff>
      <xdr:row>40</xdr:row>
      <xdr:rowOff>6915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819150</xdr:colOff>
      <xdr:row>17</xdr:row>
      <xdr:rowOff>87585</xdr:rowOff>
    </xdr:from>
    <xdr:to>
      <xdr:col>9</xdr:col>
      <xdr:colOff>437205</xdr:colOff>
      <xdr:row>36</xdr:row>
      <xdr:rowOff>67785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76200</xdr:rowOff>
    </xdr:from>
    <xdr:to>
      <xdr:col>7</xdr:col>
      <xdr:colOff>541440</xdr:colOff>
      <xdr:row>36</xdr:row>
      <xdr:rowOff>162960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showGridLines="0" zoomScaleNormal="100" workbookViewId="0">
      <selection activeCell="D16" sqref="D16"/>
    </sheetView>
  </sheetViews>
  <sheetFormatPr baseColWidth="10" defaultColWidth="8.7109375" defaultRowHeight="15" x14ac:dyDescent="0.25"/>
  <cols>
    <col min="1" max="1" width="18.140625" bestFit="1" customWidth="1"/>
    <col min="2" max="2" width="14" customWidth="1"/>
    <col min="3" max="3" width="22" customWidth="1"/>
    <col min="4" max="4" width="20.140625" customWidth="1"/>
    <col min="5" max="5" width="18" customWidth="1"/>
    <col min="6" max="6" width="9.42578125" customWidth="1"/>
    <col min="7" max="7" width="14" customWidth="1"/>
    <col min="8" max="8" width="15.7109375" customWidth="1"/>
    <col min="9" max="9" width="12" customWidth="1"/>
    <col min="10" max="10" width="6.42578125" customWidth="1"/>
    <col min="11" max="11" width="12" customWidth="1"/>
    <col min="12" max="12" width="6.85546875" bestFit="1" customWidth="1"/>
    <col min="13" max="13" width="5" customWidth="1"/>
    <col min="14" max="14" width="8.7109375" bestFit="1" customWidth="1"/>
  </cols>
  <sheetData>
    <row r="1" spans="1:14" ht="34.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customHeight="1" x14ac:dyDescent="0.25">
      <c r="A2" s="13" t="s">
        <v>235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7.5" customHeight="1" x14ac:dyDescent="0.25"/>
    <row r="4" spans="1:14" ht="24" customHeight="1" x14ac:dyDescent="0.25">
      <c r="A4" s="12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x14ac:dyDescent="0.25">
      <c r="A5" s="11" t="s">
        <v>2</v>
      </c>
      <c r="B5" s="11"/>
      <c r="C5" s="11" t="s">
        <v>3</v>
      </c>
      <c r="D5" s="11"/>
      <c r="E5" s="11" t="s">
        <v>4</v>
      </c>
      <c r="F5" s="11"/>
      <c r="G5" s="11" t="s">
        <v>5</v>
      </c>
      <c r="H5" s="11"/>
      <c r="I5" s="11" t="s">
        <v>6</v>
      </c>
      <c r="J5" s="11"/>
    </row>
    <row r="6" spans="1:14" ht="18" customHeight="1" x14ac:dyDescent="0.25">
      <c r="A6" s="10" t="s">
        <v>7</v>
      </c>
      <c r="B6" s="10"/>
      <c r="C6" s="9" t="s">
        <v>8</v>
      </c>
      <c r="D6" s="9"/>
      <c r="E6" s="9" t="s">
        <v>9</v>
      </c>
      <c r="F6" s="9"/>
      <c r="G6" s="9" t="s">
        <v>10</v>
      </c>
      <c r="H6" s="9"/>
      <c r="I6" s="9" t="s">
        <v>11</v>
      </c>
      <c r="J6" s="9"/>
    </row>
    <row r="7" spans="1:14" ht="18" customHeight="1" x14ac:dyDescent="0.25">
      <c r="A7" s="10" t="s">
        <v>12</v>
      </c>
      <c r="B7" s="10"/>
      <c r="C7" s="9" t="s">
        <v>13</v>
      </c>
      <c r="D7" s="9"/>
      <c r="E7" s="9" t="s">
        <v>14</v>
      </c>
      <c r="F7" s="9"/>
      <c r="G7" s="9" t="s">
        <v>15</v>
      </c>
      <c r="H7" s="9"/>
      <c r="I7" s="9" t="s">
        <v>11</v>
      </c>
      <c r="J7" s="9"/>
    </row>
    <row r="8" spans="1:14" ht="18" customHeight="1" x14ac:dyDescent="0.25">
      <c r="A8" s="10" t="s">
        <v>16</v>
      </c>
      <c r="B8" s="10"/>
      <c r="C8" s="9" t="s">
        <v>17</v>
      </c>
      <c r="D8" s="9"/>
      <c r="E8" s="9" t="s">
        <v>18</v>
      </c>
      <c r="F8" s="9"/>
      <c r="G8" s="9" t="s">
        <v>19</v>
      </c>
      <c r="H8" s="9"/>
      <c r="I8" s="9" t="s">
        <v>11</v>
      </c>
      <c r="J8" s="9"/>
    </row>
    <row r="9" spans="1:14" ht="18" customHeight="1" x14ac:dyDescent="0.25">
      <c r="A9" s="8" t="s">
        <v>20</v>
      </c>
      <c r="B9" s="8"/>
      <c r="C9" s="7" t="s">
        <v>21</v>
      </c>
      <c r="D9" s="7"/>
      <c r="E9" s="7" t="s">
        <v>22</v>
      </c>
      <c r="F9" s="7"/>
      <c r="G9" s="7" t="s">
        <v>23</v>
      </c>
      <c r="H9" s="7"/>
      <c r="I9" s="7" t="s">
        <v>24</v>
      </c>
      <c r="J9" s="7"/>
    </row>
    <row r="10" spans="1:14" ht="18" customHeight="1" x14ac:dyDescent="0.25">
      <c r="A10" s="8" t="s">
        <v>25</v>
      </c>
      <c r="B10" s="8"/>
      <c r="C10" s="7" t="s">
        <v>26</v>
      </c>
      <c r="D10" s="7"/>
      <c r="E10" s="7" t="s">
        <v>27</v>
      </c>
      <c r="F10" s="7"/>
      <c r="G10" s="7" t="s">
        <v>28</v>
      </c>
      <c r="H10" s="7"/>
      <c r="I10" s="7" t="s">
        <v>24</v>
      </c>
      <c r="J10" s="7"/>
    </row>
    <row r="11" spans="1:14" ht="9.75" customHeight="1" x14ac:dyDescent="0.25"/>
    <row r="12" spans="1:14" ht="24" customHeight="1" x14ac:dyDescent="0.25">
      <c r="A12" s="12" t="s">
        <v>29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30" x14ac:dyDescent="0.25">
      <c r="A13" s="15" t="s">
        <v>30</v>
      </c>
      <c r="B13" s="15" t="s">
        <v>2</v>
      </c>
      <c r="C13" s="15" t="s">
        <v>31</v>
      </c>
      <c r="D13" s="15" t="s">
        <v>32</v>
      </c>
      <c r="E13" s="15" t="s">
        <v>33</v>
      </c>
      <c r="F13" s="15" t="s">
        <v>5</v>
      </c>
      <c r="G13" s="15" t="s">
        <v>6</v>
      </c>
      <c r="H13" s="15" t="s">
        <v>34</v>
      </c>
    </row>
    <row r="14" spans="1:14" ht="18" customHeight="1" x14ac:dyDescent="0.25">
      <c r="A14" s="16" t="s">
        <v>35</v>
      </c>
      <c r="B14" s="17" t="s">
        <v>36</v>
      </c>
      <c r="D14" s="17" t="s">
        <v>37</v>
      </c>
      <c r="F14" s="17" t="s">
        <v>38</v>
      </c>
      <c r="H14" s="17" t="s">
        <v>39</v>
      </c>
      <c r="J14" s="17" t="s">
        <v>40</v>
      </c>
      <c r="L14" s="17" t="s">
        <v>41</v>
      </c>
      <c r="N14" s="17" t="s">
        <v>42</v>
      </c>
    </row>
    <row r="15" spans="1:14" ht="18" customHeight="1" x14ac:dyDescent="0.25">
      <c r="A15" s="18" t="s">
        <v>43</v>
      </c>
      <c r="B15" s="19" t="s">
        <v>44</v>
      </c>
      <c r="D15" s="19" t="s">
        <v>45</v>
      </c>
      <c r="F15" s="19" t="s">
        <v>46</v>
      </c>
      <c r="H15" s="19" t="s">
        <v>47</v>
      </c>
      <c r="J15" s="19" t="s">
        <v>48</v>
      </c>
      <c r="L15" s="19" t="s">
        <v>41</v>
      </c>
      <c r="N15" s="19" t="s">
        <v>42</v>
      </c>
    </row>
    <row r="16" spans="1:14" ht="18" customHeight="1" x14ac:dyDescent="0.25">
      <c r="A16" s="16" t="s">
        <v>49</v>
      </c>
      <c r="B16" s="17" t="s">
        <v>50</v>
      </c>
      <c r="D16" s="17" t="s">
        <v>51</v>
      </c>
      <c r="F16" s="17" t="s">
        <v>52</v>
      </c>
      <c r="H16" s="17" t="s">
        <v>53</v>
      </c>
      <c r="J16" s="17" t="s">
        <v>54</v>
      </c>
      <c r="L16" s="17" t="s">
        <v>41</v>
      </c>
      <c r="N16" s="17" t="s">
        <v>55</v>
      </c>
    </row>
    <row r="17" spans="1:14" ht="18" customHeight="1" x14ac:dyDescent="0.25">
      <c r="A17" s="18" t="s">
        <v>56</v>
      </c>
      <c r="B17" s="19" t="s">
        <v>57</v>
      </c>
      <c r="D17" s="19" t="s">
        <v>58</v>
      </c>
      <c r="F17" s="19" t="s">
        <v>59</v>
      </c>
      <c r="H17" s="19" t="s">
        <v>60</v>
      </c>
      <c r="J17" s="19" t="s">
        <v>48</v>
      </c>
      <c r="L17" s="19" t="s">
        <v>41</v>
      </c>
      <c r="N17" s="19" t="s">
        <v>42</v>
      </c>
    </row>
    <row r="18" spans="1:14" ht="18" customHeight="1" x14ac:dyDescent="0.25">
      <c r="A18" s="16" t="s">
        <v>61</v>
      </c>
      <c r="B18" s="17" t="s">
        <v>62</v>
      </c>
      <c r="D18" s="17" t="s">
        <v>63</v>
      </c>
      <c r="F18" s="17" t="s">
        <v>64</v>
      </c>
      <c r="H18" s="17" t="s">
        <v>65</v>
      </c>
      <c r="J18" s="17" t="s">
        <v>66</v>
      </c>
      <c r="L18" s="17" t="s">
        <v>41</v>
      </c>
      <c r="N18" s="17" t="s">
        <v>55</v>
      </c>
    </row>
    <row r="19" spans="1:14" ht="9.75" customHeight="1" x14ac:dyDescent="0.25"/>
    <row r="20" spans="1:14" ht="24" customHeight="1" x14ac:dyDescent="0.25">
      <c r="A20" s="6" t="s">
        <v>67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15" t="s">
        <v>68</v>
      </c>
      <c r="B21" s="15" t="s">
        <v>69</v>
      </c>
      <c r="C21" s="15" t="s">
        <v>70</v>
      </c>
      <c r="D21" s="15" t="s">
        <v>4</v>
      </c>
      <c r="E21" s="15" t="s">
        <v>71</v>
      </c>
      <c r="F21" s="15" t="s">
        <v>6</v>
      </c>
    </row>
    <row r="22" spans="1:14" ht="18" customHeight="1" x14ac:dyDescent="0.25">
      <c r="A22" s="17" t="s">
        <v>72</v>
      </c>
      <c r="B22" s="5" t="s">
        <v>73</v>
      </c>
      <c r="C22" s="5"/>
      <c r="D22" s="5" t="s">
        <v>74</v>
      </c>
      <c r="E22" s="5"/>
      <c r="F22" s="5" t="s">
        <v>75</v>
      </c>
      <c r="G22" s="5"/>
      <c r="H22" s="5" t="s">
        <v>76</v>
      </c>
      <c r="I22" s="5"/>
      <c r="J22" s="5" t="s">
        <v>77</v>
      </c>
      <c r="K22" s="5"/>
    </row>
    <row r="23" spans="1:14" ht="18" customHeight="1" x14ac:dyDescent="0.25">
      <c r="A23" s="19" t="s">
        <v>78</v>
      </c>
      <c r="B23" s="4" t="s">
        <v>79</v>
      </c>
      <c r="C23" s="4"/>
      <c r="D23" s="4" t="s">
        <v>80</v>
      </c>
      <c r="E23" s="4"/>
      <c r="F23" s="4" t="s">
        <v>81</v>
      </c>
      <c r="G23" s="4"/>
      <c r="H23" s="4" t="s">
        <v>82</v>
      </c>
      <c r="I23" s="4"/>
      <c r="J23" s="4" t="s">
        <v>77</v>
      </c>
      <c r="K23" s="4"/>
    </row>
    <row r="24" spans="1:14" ht="18" customHeight="1" x14ac:dyDescent="0.25">
      <c r="A24" s="17" t="s">
        <v>83</v>
      </c>
      <c r="B24" s="5" t="s">
        <v>84</v>
      </c>
      <c r="C24" s="5"/>
      <c r="D24" s="5" t="s">
        <v>85</v>
      </c>
      <c r="E24" s="5"/>
      <c r="F24" s="5" t="s">
        <v>86</v>
      </c>
      <c r="G24" s="5"/>
      <c r="H24" s="5" t="s">
        <v>87</v>
      </c>
      <c r="I24" s="5"/>
      <c r="J24" s="5" t="s">
        <v>77</v>
      </c>
      <c r="K24" s="5"/>
    </row>
    <row r="25" spans="1:14" ht="18" customHeight="1" x14ac:dyDescent="0.25">
      <c r="A25" s="19" t="s">
        <v>88</v>
      </c>
      <c r="B25" s="4" t="s">
        <v>89</v>
      </c>
      <c r="C25" s="4"/>
      <c r="D25" s="4" t="s">
        <v>90</v>
      </c>
      <c r="E25" s="4"/>
      <c r="F25" s="4" t="s">
        <v>91</v>
      </c>
      <c r="G25" s="4"/>
      <c r="H25" s="4" t="s">
        <v>92</v>
      </c>
      <c r="I25" s="4"/>
      <c r="J25" s="4" t="s">
        <v>77</v>
      </c>
      <c r="K25" s="4"/>
    </row>
    <row r="26" spans="1:14" ht="18" customHeight="1" x14ac:dyDescent="0.25">
      <c r="A26" s="17" t="s">
        <v>93</v>
      </c>
      <c r="B26" s="5" t="s">
        <v>94</v>
      </c>
      <c r="C26" s="5"/>
      <c r="D26" s="5" t="s">
        <v>95</v>
      </c>
      <c r="E26" s="5"/>
      <c r="F26" s="5" t="s">
        <v>96</v>
      </c>
      <c r="G26" s="5"/>
      <c r="H26" s="5" t="s">
        <v>97</v>
      </c>
      <c r="I26" s="5"/>
      <c r="J26" s="5" t="s">
        <v>77</v>
      </c>
      <c r="K26" s="5"/>
    </row>
  </sheetData>
  <mergeCells count="60">
    <mergeCell ref="B26:C26"/>
    <mergeCell ref="D26:E26"/>
    <mergeCell ref="F26:G26"/>
    <mergeCell ref="H26:I26"/>
    <mergeCell ref="J26:K26"/>
    <mergeCell ref="B25:C25"/>
    <mergeCell ref="D25:E25"/>
    <mergeCell ref="F25:G25"/>
    <mergeCell ref="H25:I25"/>
    <mergeCell ref="J25:K25"/>
    <mergeCell ref="B24:C24"/>
    <mergeCell ref="D24:E24"/>
    <mergeCell ref="F24:G24"/>
    <mergeCell ref="H24:I24"/>
    <mergeCell ref="J24:K24"/>
    <mergeCell ref="B23:C23"/>
    <mergeCell ref="D23:E23"/>
    <mergeCell ref="F23:G23"/>
    <mergeCell ref="H23:I23"/>
    <mergeCell ref="J23:K23"/>
    <mergeCell ref="A12:N12"/>
    <mergeCell ref="A20:N20"/>
    <mergeCell ref="B22:C22"/>
    <mergeCell ref="D22:E22"/>
    <mergeCell ref="F22:G22"/>
    <mergeCell ref="H22:I22"/>
    <mergeCell ref="J22:K22"/>
    <mergeCell ref="A10:B10"/>
    <mergeCell ref="C10:D10"/>
    <mergeCell ref="E10:F10"/>
    <mergeCell ref="G10:H10"/>
    <mergeCell ref="I10:J10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1:N1"/>
    <mergeCell ref="A2:N2"/>
    <mergeCell ref="A4:N4"/>
    <mergeCell ref="A5:B5"/>
    <mergeCell ref="C5:D5"/>
    <mergeCell ref="E5:F5"/>
    <mergeCell ref="G5:H5"/>
    <mergeCell ref="I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showGridLines="0" zoomScaleNormal="100" workbookViewId="0">
      <selection activeCell="S6" sqref="S6"/>
    </sheetView>
  </sheetViews>
  <sheetFormatPr baseColWidth="10" defaultColWidth="8.7109375" defaultRowHeight="15" x14ac:dyDescent="0.25"/>
  <cols>
    <col min="1" max="1" width="12" customWidth="1"/>
    <col min="2" max="2" width="22" customWidth="1"/>
    <col min="3" max="4" width="18" customWidth="1"/>
    <col min="5" max="5" width="22" customWidth="1"/>
    <col min="6" max="6" width="18" customWidth="1"/>
  </cols>
  <sheetData>
    <row r="1" spans="1:10" ht="30" customHeight="1" x14ac:dyDescent="0.25">
      <c r="A1" s="3" t="s">
        <v>98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15" t="s">
        <v>99</v>
      </c>
      <c r="B2" s="15" t="s">
        <v>100</v>
      </c>
      <c r="C2" s="15" t="s">
        <v>101</v>
      </c>
      <c r="D2" s="15" t="s">
        <v>102</v>
      </c>
      <c r="E2" s="15" t="s">
        <v>103</v>
      </c>
      <c r="F2" s="15" t="s">
        <v>104</v>
      </c>
    </row>
    <row r="3" spans="1:10" ht="18" customHeight="1" x14ac:dyDescent="0.25">
      <c r="A3" s="17" t="s">
        <v>105</v>
      </c>
      <c r="B3" s="17">
        <v>15.2</v>
      </c>
      <c r="C3" s="17">
        <v>1340</v>
      </c>
      <c r="D3" s="17">
        <v>7800</v>
      </c>
      <c r="E3" s="17">
        <v>88.1</v>
      </c>
      <c r="F3" s="17">
        <v>16.2</v>
      </c>
    </row>
    <row r="4" spans="1:10" ht="18" customHeight="1" x14ac:dyDescent="0.25">
      <c r="A4" s="19" t="s">
        <v>106</v>
      </c>
      <c r="B4" s="19">
        <v>16.100000000000001</v>
      </c>
      <c r="C4" s="19">
        <v>1290</v>
      </c>
      <c r="D4" s="19">
        <v>8100</v>
      </c>
      <c r="E4" s="19">
        <v>89.3</v>
      </c>
      <c r="F4" s="19">
        <v>17</v>
      </c>
    </row>
    <row r="5" spans="1:10" ht="18" customHeight="1" x14ac:dyDescent="0.25">
      <c r="A5" s="17" t="s">
        <v>107</v>
      </c>
      <c r="B5" s="17">
        <v>17.5</v>
      </c>
      <c r="C5" s="17">
        <v>1210</v>
      </c>
      <c r="D5" s="17">
        <v>8400</v>
      </c>
      <c r="E5" s="17">
        <v>90.2</v>
      </c>
      <c r="F5" s="17">
        <v>17.8</v>
      </c>
    </row>
    <row r="6" spans="1:10" ht="18" customHeight="1" x14ac:dyDescent="0.25">
      <c r="A6" s="19" t="s">
        <v>108</v>
      </c>
      <c r="B6" s="19">
        <v>18.7</v>
      </c>
      <c r="C6" s="19">
        <v>1087</v>
      </c>
      <c r="D6" s="19">
        <v>8940</v>
      </c>
      <c r="E6" s="19">
        <v>91.2</v>
      </c>
      <c r="F6" s="19">
        <v>19.399999999999999</v>
      </c>
    </row>
    <row r="7" spans="1:10" ht="18" customHeight="1" x14ac:dyDescent="0.25">
      <c r="A7" s="17" t="s">
        <v>109</v>
      </c>
      <c r="B7" s="17">
        <v>19.2</v>
      </c>
      <c r="C7" s="17">
        <v>1050</v>
      </c>
      <c r="D7" s="17">
        <v>9200</v>
      </c>
      <c r="E7" s="17">
        <v>92.1</v>
      </c>
      <c r="F7" s="17">
        <v>20.100000000000001</v>
      </c>
    </row>
    <row r="8" spans="1:10" ht="18" customHeight="1" x14ac:dyDescent="0.25">
      <c r="A8" s="19" t="s">
        <v>110</v>
      </c>
      <c r="B8" s="19">
        <v>20</v>
      </c>
      <c r="C8" s="19">
        <v>1000</v>
      </c>
      <c r="D8" s="19">
        <v>9500</v>
      </c>
      <c r="E8" s="19">
        <v>93</v>
      </c>
      <c r="F8" s="19">
        <v>21</v>
      </c>
    </row>
    <row r="9" spans="1:10" x14ac:dyDescent="0.25">
      <c r="A9" s="20" t="s">
        <v>111</v>
      </c>
      <c r="B9" s="21">
        <v>18</v>
      </c>
      <c r="C9" s="21">
        <v>1200</v>
      </c>
      <c r="D9" s="21">
        <v>8500</v>
      </c>
      <c r="E9" s="21">
        <v>92</v>
      </c>
      <c r="F9" s="21">
        <v>20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zoomScaleNormal="100" workbookViewId="0">
      <selection activeCell="G23" sqref="G23"/>
    </sheetView>
  </sheetViews>
  <sheetFormatPr baseColWidth="10" defaultColWidth="8.7109375" defaultRowHeight="15" x14ac:dyDescent="0.25"/>
  <cols>
    <col min="1" max="1" width="5" customWidth="1"/>
    <col min="2" max="2" width="38" customWidth="1"/>
    <col min="3" max="3" width="30" customWidth="1"/>
    <col min="4" max="4" width="16" customWidth="1"/>
    <col min="5" max="6" width="14" customWidth="1"/>
    <col min="7" max="7" width="12" customWidth="1"/>
    <col min="8" max="8" width="14" customWidth="1"/>
  </cols>
  <sheetData>
    <row r="1" spans="1:8" ht="30" customHeight="1" x14ac:dyDescent="0.25">
      <c r="A1" s="3" t="s">
        <v>112</v>
      </c>
      <c r="B1" s="3"/>
      <c r="C1" s="3"/>
      <c r="D1" s="3"/>
      <c r="E1" s="3"/>
      <c r="F1" s="3"/>
      <c r="G1" s="3"/>
      <c r="H1" s="3"/>
    </row>
    <row r="2" spans="1:8" ht="30" x14ac:dyDescent="0.25">
      <c r="A2" s="15" t="s">
        <v>113</v>
      </c>
      <c r="B2" s="15" t="s">
        <v>114</v>
      </c>
      <c r="C2" s="15" t="s">
        <v>115</v>
      </c>
      <c r="D2" s="15" t="s">
        <v>116</v>
      </c>
      <c r="E2" s="15" t="s">
        <v>117</v>
      </c>
      <c r="F2" s="15" t="s">
        <v>118</v>
      </c>
      <c r="G2" s="15" t="s">
        <v>119</v>
      </c>
      <c r="H2" s="15" t="s">
        <v>6</v>
      </c>
    </row>
    <row r="3" spans="1:8" ht="19.5" customHeight="1" x14ac:dyDescent="0.25">
      <c r="A3" s="22">
        <v>1</v>
      </c>
      <c r="B3" s="23" t="s">
        <v>120</v>
      </c>
      <c r="C3" s="24" t="s">
        <v>121</v>
      </c>
      <c r="D3" s="25" t="s">
        <v>122</v>
      </c>
      <c r="E3" s="25" t="s">
        <v>123</v>
      </c>
      <c r="F3" s="25" t="s">
        <v>124</v>
      </c>
      <c r="G3" s="25">
        <v>100</v>
      </c>
      <c r="H3" s="25" t="s">
        <v>125</v>
      </c>
    </row>
    <row r="4" spans="1:8" ht="19.5" customHeight="1" x14ac:dyDescent="0.25">
      <c r="A4" s="22">
        <v>2</v>
      </c>
      <c r="B4" s="23" t="s">
        <v>126</v>
      </c>
      <c r="C4" s="24" t="s">
        <v>127</v>
      </c>
      <c r="D4" s="25" t="s">
        <v>128</v>
      </c>
      <c r="E4" s="25" t="s">
        <v>129</v>
      </c>
      <c r="F4" s="25" t="s">
        <v>130</v>
      </c>
      <c r="G4" s="25">
        <v>100</v>
      </c>
      <c r="H4" s="25" t="s">
        <v>125</v>
      </c>
    </row>
    <row r="5" spans="1:8" ht="19.5" customHeight="1" x14ac:dyDescent="0.25">
      <c r="A5" s="22">
        <v>3</v>
      </c>
      <c r="B5" s="23" t="s">
        <v>131</v>
      </c>
      <c r="C5" s="24" t="s">
        <v>132</v>
      </c>
      <c r="D5" s="25" t="s">
        <v>122</v>
      </c>
      <c r="E5" s="25" t="s">
        <v>133</v>
      </c>
      <c r="F5" s="25" t="s">
        <v>134</v>
      </c>
      <c r="G5" s="25">
        <v>100</v>
      </c>
      <c r="H5" s="25" t="s">
        <v>125</v>
      </c>
    </row>
    <row r="6" spans="1:8" ht="19.5" customHeight="1" x14ac:dyDescent="0.25">
      <c r="A6" s="22">
        <v>4</v>
      </c>
      <c r="B6" s="23" t="s">
        <v>135</v>
      </c>
      <c r="C6" s="24" t="s">
        <v>136</v>
      </c>
      <c r="D6" s="25" t="s">
        <v>137</v>
      </c>
      <c r="E6" s="25" t="s">
        <v>138</v>
      </c>
      <c r="F6" s="25" t="s">
        <v>139</v>
      </c>
      <c r="G6" s="25">
        <v>100</v>
      </c>
      <c r="H6" s="25" t="s">
        <v>125</v>
      </c>
    </row>
    <row r="7" spans="1:8" ht="19.5" customHeight="1" x14ac:dyDescent="0.25">
      <c r="A7" s="22">
        <v>5</v>
      </c>
      <c r="B7" s="23" t="s">
        <v>140</v>
      </c>
      <c r="C7" s="24" t="s">
        <v>141</v>
      </c>
      <c r="D7" s="25" t="s">
        <v>137</v>
      </c>
      <c r="E7" s="25" t="s">
        <v>142</v>
      </c>
      <c r="F7" s="25" t="s">
        <v>143</v>
      </c>
      <c r="G7" s="25">
        <v>100</v>
      </c>
      <c r="H7" s="25" t="s">
        <v>125</v>
      </c>
    </row>
    <row r="8" spans="1:8" ht="19.5" customHeight="1" x14ac:dyDescent="0.25">
      <c r="A8" s="22">
        <v>6</v>
      </c>
      <c r="B8" s="23" t="s">
        <v>144</v>
      </c>
      <c r="C8" s="24" t="s">
        <v>145</v>
      </c>
      <c r="D8" s="25" t="s">
        <v>122</v>
      </c>
      <c r="E8" s="25" t="s">
        <v>146</v>
      </c>
      <c r="F8" s="25" t="s">
        <v>147</v>
      </c>
      <c r="G8" s="25">
        <v>100</v>
      </c>
      <c r="H8" s="25" t="s">
        <v>125</v>
      </c>
    </row>
    <row r="9" spans="1:8" ht="19.5" customHeight="1" x14ac:dyDescent="0.25">
      <c r="A9" s="22">
        <v>7</v>
      </c>
      <c r="B9" s="23" t="s">
        <v>148</v>
      </c>
      <c r="C9" s="24" t="s">
        <v>149</v>
      </c>
      <c r="D9" s="25" t="s">
        <v>137</v>
      </c>
      <c r="E9" s="25" t="s">
        <v>150</v>
      </c>
      <c r="F9" s="25" t="s">
        <v>151</v>
      </c>
      <c r="G9" s="25">
        <v>100</v>
      </c>
      <c r="H9" s="25" t="s">
        <v>125</v>
      </c>
    </row>
    <row r="10" spans="1:8" ht="19.5" customHeight="1" x14ac:dyDescent="0.25">
      <c r="A10" s="22">
        <v>8</v>
      </c>
      <c r="B10" s="23" t="s">
        <v>152</v>
      </c>
      <c r="C10" s="24" t="s">
        <v>153</v>
      </c>
      <c r="D10" s="25" t="s">
        <v>122</v>
      </c>
      <c r="E10" s="25" t="s">
        <v>154</v>
      </c>
      <c r="F10" s="25" t="s">
        <v>155</v>
      </c>
      <c r="G10" s="25">
        <v>100</v>
      </c>
      <c r="H10" s="25" t="s">
        <v>125</v>
      </c>
    </row>
    <row r="11" spans="1:8" ht="19.5" customHeight="1" x14ac:dyDescent="0.25">
      <c r="A11" s="21">
        <v>9</v>
      </c>
      <c r="B11" s="26" t="s">
        <v>156</v>
      </c>
      <c r="C11" s="27" t="s">
        <v>157</v>
      </c>
      <c r="D11" s="28" t="s">
        <v>128</v>
      </c>
      <c r="E11" s="28" t="s">
        <v>158</v>
      </c>
      <c r="F11" s="28" t="s">
        <v>159</v>
      </c>
      <c r="G11" s="28">
        <v>85</v>
      </c>
      <c r="H11" s="28" t="s">
        <v>160</v>
      </c>
    </row>
    <row r="12" spans="1:8" ht="19.5" customHeight="1" x14ac:dyDescent="0.25">
      <c r="A12" s="21">
        <v>10</v>
      </c>
      <c r="B12" s="26" t="s">
        <v>161</v>
      </c>
      <c r="C12" s="27" t="s">
        <v>162</v>
      </c>
      <c r="D12" s="28" t="s">
        <v>163</v>
      </c>
      <c r="E12" s="28" t="s">
        <v>164</v>
      </c>
      <c r="F12" s="28" t="s">
        <v>165</v>
      </c>
      <c r="G12" s="28">
        <v>90</v>
      </c>
      <c r="H12" s="28" t="s">
        <v>160</v>
      </c>
    </row>
    <row r="13" spans="1:8" ht="19.5" customHeight="1" x14ac:dyDescent="0.25">
      <c r="A13" s="21">
        <v>11</v>
      </c>
      <c r="B13" s="26" t="s">
        <v>166</v>
      </c>
      <c r="C13" s="27" t="s">
        <v>167</v>
      </c>
      <c r="D13" s="28" t="s">
        <v>168</v>
      </c>
      <c r="E13" s="28" t="s">
        <v>169</v>
      </c>
      <c r="F13" s="28" t="s">
        <v>170</v>
      </c>
      <c r="G13" s="28">
        <v>60</v>
      </c>
      <c r="H13" s="28" t="s">
        <v>160</v>
      </c>
    </row>
    <row r="14" spans="1:8" ht="19.5" customHeight="1" x14ac:dyDescent="0.25">
      <c r="A14" s="29">
        <v>12</v>
      </c>
      <c r="B14" s="30" t="s">
        <v>171</v>
      </c>
      <c r="C14" s="16" t="s">
        <v>172</v>
      </c>
      <c r="D14" s="17" t="s">
        <v>128</v>
      </c>
      <c r="E14" s="17" t="s">
        <v>173</v>
      </c>
      <c r="F14" s="17" t="s">
        <v>174</v>
      </c>
      <c r="G14" s="17">
        <v>0</v>
      </c>
      <c r="H14" s="17" t="s">
        <v>175</v>
      </c>
    </row>
    <row r="16" spans="1:8" ht="9.75" customHeight="1" x14ac:dyDescent="0.25"/>
    <row r="17" spans="1:8" x14ac:dyDescent="0.25">
      <c r="A17" s="2" t="s">
        <v>176</v>
      </c>
      <c r="B17" s="2"/>
      <c r="C17" s="2"/>
      <c r="D17" s="2"/>
      <c r="E17" s="1" t="s">
        <v>177</v>
      </c>
      <c r="F17" s="1"/>
      <c r="G17" s="1"/>
      <c r="H17" s="1"/>
    </row>
  </sheetData>
  <mergeCells count="3">
    <mergeCell ref="A1:H1"/>
    <mergeCell ref="A17:D17"/>
    <mergeCell ref="E17:H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showGridLines="0" zoomScaleNormal="100" workbookViewId="0">
      <selection activeCell="J9" sqref="J9"/>
    </sheetView>
  </sheetViews>
  <sheetFormatPr baseColWidth="10" defaultColWidth="8.7109375" defaultRowHeight="15" x14ac:dyDescent="0.25"/>
  <cols>
    <col min="1" max="1" width="22" customWidth="1"/>
    <col min="2" max="2" width="12" customWidth="1"/>
    <col min="3" max="3" width="16" customWidth="1"/>
    <col min="4" max="4" width="12" customWidth="1"/>
    <col min="5" max="5" width="18" customWidth="1"/>
    <col min="6" max="6" width="12" customWidth="1"/>
    <col min="7" max="7" width="30" customWidth="1"/>
  </cols>
  <sheetData>
    <row r="1" spans="1:7" ht="27.75" customHeight="1" x14ac:dyDescent="0.25">
      <c r="A1" s="33" t="s">
        <v>178</v>
      </c>
      <c r="B1" s="33"/>
      <c r="C1" s="33"/>
      <c r="D1" s="33"/>
      <c r="E1" s="33"/>
      <c r="F1" s="33"/>
      <c r="G1" s="33"/>
    </row>
    <row r="3" spans="1:7" x14ac:dyDescent="0.25">
      <c r="A3" s="34" t="s">
        <v>179</v>
      </c>
      <c r="B3" s="34"/>
      <c r="C3" s="34"/>
      <c r="D3" s="34"/>
      <c r="E3" s="34"/>
      <c r="F3" s="34"/>
      <c r="G3" s="34"/>
    </row>
    <row r="4" spans="1:7" ht="30" x14ac:dyDescent="0.25">
      <c r="A4" s="15" t="s">
        <v>180</v>
      </c>
      <c r="B4" s="15" t="s">
        <v>181</v>
      </c>
      <c r="C4" s="15" t="s">
        <v>182</v>
      </c>
      <c r="D4" s="15" t="s">
        <v>183</v>
      </c>
      <c r="E4" s="15" t="s">
        <v>184</v>
      </c>
      <c r="F4" s="15" t="s">
        <v>185</v>
      </c>
      <c r="G4" s="15" t="s">
        <v>186</v>
      </c>
    </row>
    <row r="5" spans="1:7" ht="18" customHeight="1" x14ac:dyDescent="0.25">
      <c r="A5" s="31" t="s">
        <v>187</v>
      </c>
      <c r="B5" s="17" t="s">
        <v>188</v>
      </c>
      <c r="C5" s="17" t="s">
        <v>189</v>
      </c>
      <c r="D5" s="17" t="s">
        <v>190</v>
      </c>
      <c r="E5" s="17" t="s">
        <v>191</v>
      </c>
      <c r="F5" s="17" t="s">
        <v>192</v>
      </c>
      <c r="G5" s="16" t="s">
        <v>193</v>
      </c>
    </row>
    <row r="6" spans="1:7" ht="18" customHeight="1" x14ac:dyDescent="0.25">
      <c r="A6" s="32" t="s">
        <v>194</v>
      </c>
      <c r="B6" s="19" t="s">
        <v>195</v>
      </c>
      <c r="C6" s="19" t="s">
        <v>196</v>
      </c>
      <c r="D6" s="19" t="s">
        <v>197</v>
      </c>
      <c r="E6" s="19" t="s">
        <v>198</v>
      </c>
      <c r="F6" s="19" t="s">
        <v>199</v>
      </c>
      <c r="G6" s="18" t="s">
        <v>200</v>
      </c>
    </row>
    <row r="7" spans="1:7" ht="18" customHeight="1" x14ac:dyDescent="0.25">
      <c r="A7" s="31" t="s">
        <v>201</v>
      </c>
      <c r="B7" s="17" t="s">
        <v>202</v>
      </c>
      <c r="C7" s="17" t="s">
        <v>203</v>
      </c>
      <c r="D7" s="17" t="s">
        <v>204</v>
      </c>
      <c r="E7" s="17" t="s">
        <v>205</v>
      </c>
      <c r="F7" s="17" t="s">
        <v>206</v>
      </c>
      <c r="G7" s="16" t="s">
        <v>207</v>
      </c>
    </row>
    <row r="8" spans="1:7" ht="18" customHeight="1" x14ac:dyDescent="0.25">
      <c r="A8" s="32" t="s">
        <v>208</v>
      </c>
      <c r="B8" s="19" t="s">
        <v>209</v>
      </c>
      <c r="C8" s="19" t="s">
        <v>195</v>
      </c>
      <c r="D8" s="19" t="s">
        <v>196</v>
      </c>
      <c r="E8" s="19" t="s">
        <v>210</v>
      </c>
      <c r="F8" s="19" t="s">
        <v>211</v>
      </c>
      <c r="G8" s="18" t="s">
        <v>212</v>
      </c>
    </row>
    <row r="9" spans="1:7" ht="18" customHeight="1" x14ac:dyDescent="0.25">
      <c r="A9" s="31" t="s">
        <v>213</v>
      </c>
      <c r="B9" s="17" t="s">
        <v>188</v>
      </c>
      <c r="C9" s="17" t="s">
        <v>214</v>
      </c>
      <c r="D9" s="17" t="s">
        <v>202</v>
      </c>
      <c r="E9" s="17" t="s">
        <v>215</v>
      </c>
      <c r="F9" s="17" t="s">
        <v>216</v>
      </c>
      <c r="G9" s="16" t="s">
        <v>217</v>
      </c>
    </row>
    <row r="11" spans="1:7" x14ac:dyDescent="0.25">
      <c r="A11" t="s">
        <v>218</v>
      </c>
      <c r="B11" t="s">
        <v>181</v>
      </c>
      <c r="E11" s="1" t="s">
        <v>219</v>
      </c>
      <c r="F11" s="1"/>
      <c r="G11" s="1"/>
    </row>
    <row r="12" spans="1:7" x14ac:dyDescent="0.25">
      <c r="A12" t="s">
        <v>187</v>
      </c>
      <c r="B12">
        <v>15</v>
      </c>
      <c r="E12" s="15" t="s">
        <v>30</v>
      </c>
      <c r="F12" s="15" t="s">
        <v>220</v>
      </c>
      <c r="G12" s="15" t="s">
        <v>33</v>
      </c>
    </row>
    <row r="13" spans="1:7" x14ac:dyDescent="0.25">
      <c r="A13" t="s">
        <v>194</v>
      </c>
      <c r="B13">
        <v>28</v>
      </c>
      <c r="E13" s="17" t="s">
        <v>221</v>
      </c>
      <c r="F13" s="17" t="s">
        <v>38</v>
      </c>
      <c r="G13" s="17">
        <v>0.87</v>
      </c>
    </row>
    <row r="14" spans="1:7" x14ac:dyDescent="0.25">
      <c r="A14" t="s">
        <v>201</v>
      </c>
      <c r="B14">
        <v>22</v>
      </c>
      <c r="E14" s="19" t="s">
        <v>222</v>
      </c>
      <c r="F14" s="19" t="s">
        <v>46</v>
      </c>
      <c r="G14" s="19">
        <v>0.83</v>
      </c>
    </row>
    <row r="15" spans="1:7" x14ac:dyDescent="0.25">
      <c r="A15" t="s">
        <v>208</v>
      </c>
      <c r="B15">
        <v>20</v>
      </c>
      <c r="E15" s="17" t="s">
        <v>223</v>
      </c>
      <c r="F15" s="17" t="s">
        <v>224</v>
      </c>
      <c r="G15" s="17">
        <v>145</v>
      </c>
    </row>
    <row r="16" spans="1:7" x14ac:dyDescent="0.25">
      <c r="A16" t="s">
        <v>213</v>
      </c>
      <c r="B16">
        <v>15</v>
      </c>
      <c r="E16" s="19" t="s">
        <v>225</v>
      </c>
      <c r="F16" s="19" t="s">
        <v>59</v>
      </c>
      <c r="G16" s="19">
        <v>0.84</v>
      </c>
    </row>
    <row r="17" spans="5:7" x14ac:dyDescent="0.25">
      <c r="E17" s="17" t="s">
        <v>226</v>
      </c>
      <c r="F17" s="17" t="s">
        <v>227</v>
      </c>
      <c r="G17" s="17">
        <v>4.2</v>
      </c>
    </row>
  </sheetData>
  <mergeCells count="3">
    <mergeCell ref="A1:G1"/>
    <mergeCell ref="A3:G3"/>
    <mergeCell ref="E11:G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showGridLines="0" tabSelected="1" zoomScaleNormal="100" workbookViewId="0">
      <selection activeCell="H8" sqref="H8"/>
    </sheetView>
  </sheetViews>
  <sheetFormatPr baseColWidth="10" defaultColWidth="8.7109375" defaultRowHeight="15" x14ac:dyDescent="0.25"/>
  <cols>
    <col min="1" max="1" width="12" customWidth="1"/>
    <col min="2" max="2" width="18" customWidth="1"/>
    <col min="3" max="3" width="14" customWidth="1"/>
    <col min="4" max="4" width="18" customWidth="1"/>
    <col min="5" max="5" width="14" customWidth="1"/>
    <col min="6" max="6" width="20" customWidth="1"/>
  </cols>
  <sheetData>
    <row r="1" spans="1:6" ht="27.75" customHeight="1" x14ac:dyDescent="0.25">
      <c r="A1" s="33" t="s">
        <v>228</v>
      </c>
      <c r="B1" s="33"/>
      <c r="C1" s="33"/>
      <c r="D1" s="33"/>
      <c r="E1" s="33"/>
      <c r="F1" s="33"/>
    </row>
    <row r="3" spans="1:6" x14ac:dyDescent="0.25">
      <c r="A3" s="34" t="s">
        <v>229</v>
      </c>
      <c r="B3" s="34"/>
      <c r="C3" s="34"/>
      <c r="D3" s="34"/>
      <c r="E3" s="34"/>
      <c r="F3" s="34"/>
    </row>
    <row r="4" spans="1:6" ht="30" x14ac:dyDescent="0.25">
      <c r="A4" s="15" t="s">
        <v>99</v>
      </c>
      <c r="B4" s="15" t="s">
        <v>230</v>
      </c>
      <c r="C4" s="15" t="s">
        <v>231</v>
      </c>
      <c r="D4" s="15" t="s">
        <v>232</v>
      </c>
      <c r="E4" s="15" t="s">
        <v>233</v>
      </c>
      <c r="F4" s="15" t="s">
        <v>234</v>
      </c>
    </row>
    <row r="5" spans="1:6" x14ac:dyDescent="0.25">
      <c r="A5" s="17" t="s">
        <v>105</v>
      </c>
      <c r="B5" s="17">
        <v>91.2</v>
      </c>
      <c r="C5" s="17">
        <v>98.1</v>
      </c>
      <c r="D5" s="17">
        <v>95</v>
      </c>
      <c r="E5" s="17">
        <v>93.2</v>
      </c>
      <c r="F5" s="17">
        <v>5.8</v>
      </c>
    </row>
    <row r="6" spans="1:6" x14ac:dyDescent="0.25">
      <c r="A6" s="19" t="s">
        <v>106</v>
      </c>
      <c r="B6" s="19">
        <v>93</v>
      </c>
      <c r="C6" s="19">
        <v>98.8</v>
      </c>
      <c r="D6" s="19">
        <v>96.1</v>
      </c>
      <c r="E6" s="19">
        <v>94.1</v>
      </c>
      <c r="F6" s="19">
        <v>4.9000000000000004</v>
      </c>
    </row>
    <row r="7" spans="1:6" x14ac:dyDescent="0.25">
      <c r="A7" s="17" t="s">
        <v>107</v>
      </c>
      <c r="B7" s="17">
        <v>94.5</v>
      </c>
      <c r="C7" s="17">
        <v>99.1</v>
      </c>
      <c r="D7" s="17">
        <v>97</v>
      </c>
      <c r="E7" s="17">
        <v>95.2</v>
      </c>
      <c r="F7" s="17">
        <v>4.2</v>
      </c>
    </row>
    <row r="8" spans="1:6" x14ac:dyDescent="0.25">
      <c r="A8" s="19" t="s">
        <v>108</v>
      </c>
      <c r="B8" s="19">
        <v>97.3</v>
      </c>
      <c r="C8" s="19">
        <v>99.6</v>
      </c>
      <c r="D8" s="19">
        <v>98.7</v>
      </c>
      <c r="E8" s="19">
        <v>96.8</v>
      </c>
      <c r="F8" s="19">
        <v>2.1</v>
      </c>
    </row>
    <row r="9" spans="1:6" x14ac:dyDescent="0.25">
      <c r="A9" s="17" t="s">
        <v>109</v>
      </c>
      <c r="B9" s="17">
        <v>97.8</v>
      </c>
      <c r="C9" s="17">
        <v>99.7</v>
      </c>
      <c r="D9" s="17">
        <v>98.9</v>
      </c>
      <c r="E9" s="17">
        <v>97.1</v>
      </c>
      <c r="F9" s="17">
        <v>2</v>
      </c>
    </row>
    <row r="10" spans="1:6" x14ac:dyDescent="0.25">
      <c r="A10" s="19" t="s">
        <v>110</v>
      </c>
      <c r="B10" s="19">
        <v>98.1</v>
      </c>
      <c r="C10" s="19">
        <v>99.8</v>
      </c>
      <c r="D10" s="19">
        <v>99</v>
      </c>
      <c r="E10" s="19">
        <v>97.4</v>
      </c>
      <c r="F10" s="19">
        <v>1.8</v>
      </c>
    </row>
  </sheetData>
  <mergeCells count="2">
    <mergeCell ref="A1:F1"/>
    <mergeCell ref="A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📊 Dashboard</vt:lpstr>
      <vt:lpstr>📈 Datos y Análisis</vt:lpstr>
      <vt:lpstr>📋 Actividades y Avances</vt:lpstr>
      <vt:lpstr>🔬 Segmentación y Modelos</vt:lpstr>
      <vt:lpstr>🔧 ETL y Calidad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Ruben Andres Reyes Cuellar</cp:lastModifiedBy>
  <cp:revision>1</cp:revision>
  <dcterms:created xsi:type="dcterms:W3CDTF">2026-05-06T03:06:30Z</dcterms:created>
  <dcterms:modified xsi:type="dcterms:W3CDTF">2026-05-06T03:19:49Z</dcterms:modified>
  <dc:language>en-US</dc:language>
</cp:coreProperties>
</file>