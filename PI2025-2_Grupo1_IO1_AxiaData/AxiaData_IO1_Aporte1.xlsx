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LP_Model" sheetId="2" state="visible" r:id="rId2"/>
    <sheet xmlns:r="http://schemas.openxmlformats.org/officeDocument/2006/relationships" name="Instrucciones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Binary_Model" sheetId="5" state="visible" r:id="rId5"/>
  </sheets>
  <definedNames>
    <definedName name="BUDGET">LP_Model!$B$2</definedName>
    <definedName name="FICO_MIN">LP_Model!$B$3</definedName>
    <definedName name="DTI_MAX">LP_Model!$B$4</definedName>
    <definedName name="x_vars">LP_Model!$J$6:$J$65</definedName>
    <definedName name="OBJ">LP_Model!$B$68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Data" displayName="tblData" ref="A1:H61" headerRowCount="1">
  <autoFilter ref="A1:H61"/>
  <tableColumns count="8">
    <tableColumn id="1" name="Region"/>
    <tableColumn id="2" name="Proposito"/>
    <tableColumn id="3" name="FICO_mid"/>
    <tableColumn id="4" name="APR"/>
    <tableColumn id="5" name="PD"/>
    <tableColumn id="6" name="LGD"/>
    <tableColumn id="7" name="DTI"/>
    <tableColumn id="8" name="RA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Proposito</t>
        </is>
      </c>
      <c r="C1" t="inlineStr">
        <is>
          <t>FICO_mid</t>
        </is>
      </c>
      <c r="D1" t="inlineStr">
        <is>
          <t>APR</t>
        </is>
      </c>
      <c r="E1" t="inlineStr">
        <is>
          <t>PD</t>
        </is>
      </c>
      <c r="F1" t="inlineStr">
        <is>
          <t>LGD</t>
        </is>
      </c>
      <c r="G1" t="inlineStr">
        <is>
          <t>DTI</t>
        </is>
      </c>
      <c r="H1" t="inlineStr">
        <is>
          <t>RAR</t>
        </is>
      </c>
      <c r="I1" t="inlineStr">
        <is>
          <t>EAD_cap</t>
        </is>
      </c>
      <c r="J1" t="inlineStr">
        <is>
          <t>x_alloc</t>
        </is>
      </c>
      <c r="K1" t="inlineStr">
        <is>
          <t>EL</t>
        </is>
      </c>
      <c r="L1" t="inlineStr">
        <is>
          <t>Expected_Return</t>
        </is>
      </c>
      <c r="M1" t="inlineStr">
        <is>
          <t>RAR_Value</t>
        </is>
      </c>
    </row>
    <row r="2">
      <c r="A2" t="inlineStr">
        <is>
          <t>Andina</t>
        </is>
      </c>
      <c r="B2" t="inlineStr">
        <is>
          <t>Deuda</t>
        </is>
      </c>
      <c r="C2" t="inlineStr">
        <is>
          <t>680</t>
        </is>
      </c>
      <c r="D2" t="n">
        <v>0.2120861994426472</v>
      </c>
      <c r="E2" t="n">
        <v>0.08414949999653105</v>
      </c>
      <c r="F2" t="n">
        <v>0.5571245739191076</v>
      </c>
      <c r="G2" t="n">
        <v>0.4176151492820401</v>
      </c>
      <c r="H2" t="n">
        <v>0.1652044451115739</v>
      </c>
      <c r="I2" t="n">
        <v>5000000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Andina</t>
        </is>
      </c>
      <c r="B3" t="inlineStr">
        <is>
          <t>Deuda</t>
        </is>
      </c>
      <c r="C3" t="inlineStr">
        <is>
          <t>720</t>
        </is>
      </c>
      <c r="D3" t="n">
        <v>0.209016555826162</v>
      </c>
      <c r="E3" t="n">
        <v>0.06131626128725164</v>
      </c>
      <c r="F3" t="n">
        <v>0.5673713409705814</v>
      </c>
      <c r="G3" t="n">
        <v>0.3738371736457645</v>
      </c>
      <c r="H3" t="n">
        <v>0.1742274664363115</v>
      </c>
      <c r="I3" t="n">
        <v>5000000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Andina</t>
        </is>
      </c>
      <c r="B4" t="inlineStr">
        <is>
          <t>Deuda</t>
        </is>
      </c>
      <c r="C4" t="inlineStr">
        <is>
          <t>770</t>
        </is>
      </c>
      <c r="D4" t="n">
        <v>0.2080282075790732</v>
      </c>
      <c r="E4" t="n">
        <v>0.04624059445949484</v>
      </c>
      <c r="F4" t="n">
        <v>0.544902405379063</v>
      </c>
      <c r="G4" t="n">
        <v>0.3476713512321487</v>
      </c>
      <c r="H4" t="n">
        <v>0.1828315964319367</v>
      </c>
      <c r="I4" t="n">
        <v>5000000</v>
      </c>
      <c r="J4" t="n">
        <v>5000000</v>
      </c>
      <c r="K4" t="n">
        <v>125983.0557356826</v>
      </c>
      <c r="L4" t="n">
        <v>1040141.037895366</v>
      </c>
      <c r="M4" t="n">
        <v>914157.9821596835</v>
      </c>
    </row>
    <row r="5">
      <c r="A5" t="inlineStr">
        <is>
          <t>Andina</t>
        </is>
      </c>
      <c r="B5" t="inlineStr">
        <is>
          <t>Negocio</t>
        </is>
      </c>
      <c r="C5" t="inlineStr">
        <is>
          <t>680</t>
        </is>
      </c>
      <c r="D5" t="n">
        <v>0.2411614189035169</v>
      </c>
      <c r="E5" t="n">
        <v>0.09190365528437595</v>
      </c>
      <c r="F5" t="n">
        <v>0.5793009860098436</v>
      </c>
      <c r="G5" t="n">
        <v>0.3871885623537952</v>
      </c>
      <c r="H5" t="n">
        <v>0.1879215407793692</v>
      </c>
      <c r="I5" t="n">
        <v>5000000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Andina</t>
        </is>
      </c>
      <c r="B6" t="inlineStr">
        <is>
          <t>Negocio</t>
        </is>
      </c>
      <c r="C6" t="inlineStr">
        <is>
          <t>720</t>
        </is>
      </c>
      <c r="D6" t="n">
        <v>0.2351384106223948</v>
      </c>
      <c r="E6" t="n">
        <v>0.07192170367342239</v>
      </c>
      <c r="F6" t="n">
        <v>0.5891037110937454</v>
      </c>
      <c r="G6" t="n">
        <v>0.3429384814933235</v>
      </c>
      <c r="H6" t="n">
        <v>0.192769068080197</v>
      </c>
      <c r="I6" t="n">
        <v>5000000</v>
      </c>
      <c r="J6" t="n">
        <v>5000000</v>
      </c>
      <c r="K6" t="n">
        <v>211846.712710989</v>
      </c>
      <c r="L6" t="n">
        <v>1175692.053111974</v>
      </c>
      <c r="M6" t="n">
        <v>963845.3404009849</v>
      </c>
    </row>
    <row r="7">
      <c r="A7" t="inlineStr">
        <is>
          <t>Andina</t>
        </is>
      </c>
      <c r="B7" t="inlineStr">
        <is>
          <t>Negocio</t>
        </is>
      </c>
      <c r="C7" t="inlineStr">
        <is>
          <t>770</t>
        </is>
      </c>
      <c r="D7" t="n">
        <v>0.2470351140908235</v>
      </c>
      <c r="E7" t="n">
        <v>0.0521444023267337</v>
      </c>
      <c r="F7" t="n">
        <v>0.6008103384562551</v>
      </c>
      <c r="G7" t="n">
        <v>0.3228762590689327</v>
      </c>
      <c r="H7" t="n">
        <v>0.2157062180802994</v>
      </c>
      <c r="I7" t="n">
        <v>5000000</v>
      </c>
      <c r="J7" t="n">
        <v>5000000</v>
      </c>
      <c r="K7" t="n">
        <v>156644.4800526201</v>
      </c>
      <c r="L7" t="n">
        <v>1235175.570454117</v>
      </c>
      <c r="M7" t="n">
        <v>1078531.090401497</v>
      </c>
    </row>
    <row r="8">
      <c r="A8" t="inlineStr">
        <is>
          <t>Andina</t>
        </is>
      </c>
      <c r="B8" t="inlineStr">
        <is>
          <t>Vivienda</t>
        </is>
      </c>
      <c r="C8" t="inlineStr">
        <is>
          <t>680</t>
        </is>
      </c>
      <c r="D8" t="n">
        <v>0.1582579752815194</v>
      </c>
      <c r="E8" t="n">
        <v>0.04565140933495398</v>
      </c>
      <c r="F8" t="n">
        <v>0.2930940385354662</v>
      </c>
      <c r="G8" t="n">
        <v>0.3318784900917283</v>
      </c>
      <c r="H8" t="n">
        <v>0.1448778193547021</v>
      </c>
      <c r="I8" t="n">
        <v>5000000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Andina</t>
        </is>
      </c>
      <c r="B9" t="inlineStr">
        <is>
          <t>Vivienda</t>
        </is>
      </c>
      <c r="C9" t="inlineStr">
        <is>
          <t>720</t>
        </is>
      </c>
      <c r="D9" t="n">
        <v>0.1580779561922598</v>
      </c>
      <c r="E9" t="n">
        <v>0.03295903548458121</v>
      </c>
      <c r="F9" t="n">
        <v>0.2963897603266236</v>
      </c>
      <c r="G9" t="n">
        <v>0.2992613909225447</v>
      </c>
      <c r="H9" t="n">
        <v>0.1483092355643881</v>
      </c>
      <c r="I9" t="n">
        <v>5000000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Andina</t>
        </is>
      </c>
      <c r="B10" t="inlineStr">
        <is>
          <t>Vivienda</t>
        </is>
      </c>
      <c r="C10" t="inlineStr">
        <is>
          <t>770</t>
        </is>
      </c>
      <c r="D10" t="n">
        <v>0.1599568088808386</v>
      </c>
      <c r="E10" t="n">
        <v>0.02372258246721741</v>
      </c>
      <c r="F10" t="n">
        <v>0.3049352694726191</v>
      </c>
      <c r="G10" t="n">
        <v>0.2638957817501449</v>
      </c>
      <c r="H10" t="n">
        <v>0.1527229568036112</v>
      </c>
      <c r="I10" t="n">
        <v>5000000</v>
      </c>
      <c r="J10" t="n">
        <v>5000000</v>
      </c>
      <c r="K10" t="n">
        <v>36169.26038613686</v>
      </c>
      <c r="L10" t="n">
        <v>799784.0444041931</v>
      </c>
      <c r="M10" t="n">
        <v>763614.7840180561</v>
      </c>
    </row>
    <row r="11">
      <c r="A11" t="inlineStr">
        <is>
          <t>Andina</t>
        </is>
      </c>
      <c r="B11" t="inlineStr">
        <is>
          <t>Educación</t>
        </is>
      </c>
      <c r="C11" t="inlineStr">
        <is>
          <t>680</t>
        </is>
      </c>
      <c r="D11" t="n">
        <v>0.1807519089420171</v>
      </c>
      <c r="E11" t="n">
        <v>0.05506077893259099</v>
      </c>
      <c r="F11" t="n">
        <v>0.3893745116088125</v>
      </c>
      <c r="G11" t="n">
        <v>0.3709843061793456</v>
      </c>
      <c r="H11" t="n">
        <v>0.1593126450363387</v>
      </c>
      <c r="I11" t="n">
        <v>5000000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Andina</t>
        </is>
      </c>
      <c r="B12" t="inlineStr">
        <is>
          <t>Educación</t>
        </is>
      </c>
      <c r="C12" t="inlineStr">
        <is>
          <t>720</t>
        </is>
      </c>
      <c r="D12" t="n">
        <v>0.1826584796879835</v>
      </c>
      <c r="E12" t="n">
        <v>0.04296977982062613</v>
      </c>
      <c r="F12" t="n">
        <v>0.3990748137408941</v>
      </c>
      <c r="G12" t="n">
        <v>0.3284944815220536</v>
      </c>
      <c r="H12" t="n">
        <v>0.1655103228095799</v>
      </c>
      <c r="I12" t="n">
        <v>5000000</v>
      </c>
      <c r="J12" t="n">
        <v>5000000</v>
      </c>
      <c r="K12" t="n">
        <v>85740.78439201802</v>
      </c>
      <c r="L12" t="n">
        <v>913292.3984399175</v>
      </c>
      <c r="M12" t="n">
        <v>827551.6140478995</v>
      </c>
    </row>
    <row r="13">
      <c r="A13" t="inlineStr">
        <is>
          <t>Andina</t>
        </is>
      </c>
      <c r="B13" t="inlineStr">
        <is>
          <t>Educación</t>
        </is>
      </c>
      <c r="C13" t="inlineStr">
        <is>
          <t>770</t>
        </is>
      </c>
      <c r="D13" t="n">
        <v>0.1746773208346773</v>
      </c>
      <c r="E13" t="n">
        <v>0.030819747223067</v>
      </c>
      <c r="F13" t="n">
        <v>0.3963148898323217</v>
      </c>
      <c r="G13" t="n">
        <v>0.3152856111310947</v>
      </c>
      <c r="H13" t="n">
        <v>0.1624629961093075</v>
      </c>
      <c r="I13" t="n">
        <v>5000000</v>
      </c>
      <c r="J13" t="n">
        <v>5000000</v>
      </c>
      <c r="K13" t="n">
        <v>61071.623626849</v>
      </c>
      <c r="L13" t="n">
        <v>873386.6041733864</v>
      </c>
      <c r="M13" t="n">
        <v>812314.9805465374</v>
      </c>
    </row>
    <row r="14">
      <c r="A14" t="inlineStr">
        <is>
          <t>Caribe</t>
        </is>
      </c>
      <c r="B14" t="inlineStr">
        <is>
          <t>Deuda</t>
        </is>
      </c>
      <c r="C14" t="inlineStr">
        <is>
          <t>680</t>
        </is>
      </c>
      <c r="D14" t="n">
        <v>0.2156720607525113</v>
      </c>
      <c r="E14" t="n">
        <v>0.08643314866264792</v>
      </c>
      <c r="F14" t="n">
        <v>0.5535649236633428</v>
      </c>
      <c r="G14" t="n">
        <v>0.4080745885979185</v>
      </c>
      <c r="H14" t="n">
        <v>0.1678257014110902</v>
      </c>
      <c r="I14" t="n">
        <v>5000000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Caribe</t>
        </is>
      </c>
      <c r="B15" t="inlineStr">
        <is>
          <t>Deuda</t>
        </is>
      </c>
      <c r="C15" t="inlineStr">
        <is>
          <t>720</t>
        </is>
      </c>
      <c r="D15" t="n">
        <v>0.2113000661506893</v>
      </c>
      <c r="E15" t="n">
        <v>0.06791378075108394</v>
      </c>
      <c r="F15" t="n">
        <v>0.5613409947474555</v>
      </c>
      <c r="G15" t="n">
        <v>0.374656400595581</v>
      </c>
      <c r="H15" t="n">
        <v>0.1731772769068152</v>
      </c>
      <c r="I15" t="n">
        <v>5000000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Caribe</t>
        </is>
      </c>
      <c r="B16" t="inlineStr">
        <is>
          <t>Deuda</t>
        </is>
      </c>
      <c r="C16" t="inlineStr">
        <is>
          <t>770</t>
        </is>
      </c>
      <c r="D16" t="n">
        <v>0.2106047921305142</v>
      </c>
      <c r="E16" t="n">
        <v>0.04868415911552014</v>
      </c>
      <c r="F16" t="n">
        <v>0.5536438977454392</v>
      </c>
      <c r="G16" t="n">
        <v>0.3548777256356118</v>
      </c>
      <c r="H16" t="n">
        <v>0.1836511045193385</v>
      </c>
      <c r="I16" t="n">
        <v>5000000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Caribe</t>
        </is>
      </c>
      <c r="B17" t="inlineStr">
        <is>
          <t>Negocio</t>
        </is>
      </c>
      <c r="C17" t="inlineStr">
        <is>
          <t>680</t>
        </is>
      </c>
      <c r="D17" t="n">
        <v>0.2424539629315094</v>
      </c>
      <c r="E17" t="n">
        <v>0.104713503292719</v>
      </c>
      <c r="F17" t="n">
        <v>0.5867239803119276</v>
      </c>
      <c r="G17" t="n">
        <v>0.3840189668795966</v>
      </c>
      <c r="H17" t="n">
        <v>0.1810160394871992</v>
      </c>
      <c r="I17" t="n">
        <v>5000000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Caribe</t>
        </is>
      </c>
      <c r="B18" t="inlineStr">
        <is>
          <t>Negocio</t>
        </is>
      </c>
      <c r="C18" t="inlineStr">
        <is>
          <t>720</t>
        </is>
      </c>
      <c r="D18" t="n">
        <v>0.248778126426442</v>
      </c>
      <c r="E18" t="n">
        <v>0.08008088010595575</v>
      </c>
      <c r="F18" t="n">
        <v>0.599135878541036</v>
      </c>
      <c r="G18" t="n">
        <v>0.3550176644894601</v>
      </c>
      <c r="H18" t="n">
        <v>0.2007987979698208</v>
      </c>
      <c r="I18" t="n">
        <v>5000000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Caribe</t>
        </is>
      </c>
      <c r="B19" t="inlineStr">
        <is>
          <t>Negocio</t>
        </is>
      </c>
      <c r="C19" t="inlineStr">
        <is>
          <t>770</t>
        </is>
      </c>
      <c r="D19" t="n">
        <v>0.2465705699786332</v>
      </c>
      <c r="E19" t="n">
        <v>0.05560265129741668</v>
      </c>
      <c r="F19" t="n">
        <v>0.604336747266101</v>
      </c>
      <c r="G19" t="n">
        <v>0.3376901828323298</v>
      </c>
      <c r="H19" t="n">
        <v>0.2129678445541811</v>
      </c>
      <c r="I19" t="n">
        <v>5000000</v>
      </c>
      <c r="J19" t="n">
        <v>5000000</v>
      </c>
      <c r="K19" t="n">
        <v>168013.6271222603</v>
      </c>
      <c r="L19" t="n">
        <v>1232852.849893166</v>
      </c>
      <c r="M19" t="n">
        <v>1064839.222770906</v>
      </c>
    </row>
    <row r="20">
      <c r="A20" t="inlineStr">
        <is>
          <t>Caribe</t>
        </is>
      </c>
      <c r="B20" t="inlineStr">
        <is>
          <t>Vivienda</t>
        </is>
      </c>
      <c r="C20" t="inlineStr">
        <is>
          <t>680</t>
        </is>
      </c>
      <c r="D20" t="n">
        <v>0.1630830638083451</v>
      </c>
      <c r="E20" t="n">
        <v>0.05144659767740102</v>
      </c>
      <c r="F20" t="n">
        <v>0.2842815293754615</v>
      </c>
      <c r="G20" t="n">
        <v>0.3341095125218761</v>
      </c>
      <c r="H20" t="n">
        <v>0.1484577463394495</v>
      </c>
      <c r="I20" t="n">
        <v>5000000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Caribe</t>
        </is>
      </c>
      <c r="B21" t="inlineStr">
        <is>
          <t>Vivienda</t>
        </is>
      </c>
      <c r="C21" t="inlineStr">
        <is>
          <t>720</t>
        </is>
      </c>
      <c r="D21" t="n">
        <v>0.1634841216307294</v>
      </c>
      <c r="E21" t="n">
        <v>0.03558787938134313</v>
      </c>
      <c r="F21" t="n">
        <v>0.300550564659213</v>
      </c>
      <c r="G21" t="n">
        <v>0.2800621554269955</v>
      </c>
      <c r="H21" t="n">
        <v>0.1527881643876428</v>
      </c>
      <c r="I21" t="n">
        <v>5000000</v>
      </c>
      <c r="J21" t="n">
        <v>5000000</v>
      </c>
      <c r="K21" t="n">
        <v>53479.7862154332</v>
      </c>
      <c r="L21" t="n">
        <v>817420.6081536469</v>
      </c>
      <c r="M21" t="n">
        <v>763940.8219382138</v>
      </c>
    </row>
    <row r="22">
      <c r="A22" t="inlineStr">
        <is>
          <t>Caribe</t>
        </is>
      </c>
      <c r="B22" t="inlineStr">
        <is>
          <t>Vivienda</t>
        </is>
      </c>
      <c r="C22" t="inlineStr">
        <is>
          <t>770</t>
        </is>
      </c>
      <c r="D22" t="n">
        <v>0.1624829909580984</v>
      </c>
      <c r="E22" t="n">
        <v>0.02674347595926603</v>
      </c>
      <c r="F22" t="n">
        <v>0.3088673642684491</v>
      </c>
      <c r="G22" t="n">
        <v>0.2674086489086318</v>
      </c>
      <c r="H22" t="n">
        <v>0.1542228040271832</v>
      </c>
      <c r="I22" t="n">
        <v>5000000</v>
      </c>
      <c r="J22" t="n">
        <v>5000000</v>
      </c>
      <c r="K22" t="n">
        <v>41300.93465457566</v>
      </c>
      <c r="L22" t="n">
        <v>812414.9547904918</v>
      </c>
      <c r="M22" t="n">
        <v>771114.0201359162</v>
      </c>
    </row>
    <row r="23">
      <c r="A23" t="inlineStr">
        <is>
          <t>Caribe</t>
        </is>
      </c>
      <c r="B23" t="inlineStr">
        <is>
          <t>Educación</t>
        </is>
      </c>
      <c r="C23" t="inlineStr">
        <is>
          <t>680</t>
        </is>
      </c>
      <c r="D23" t="n">
        <v>0.1806312114901762</v>
      </c>
      <c r="E23" t="n">
        <v>0.06222896969958989</v>
      </c>
      <c r="F23" t="n">
        <v>0.4073232169416166</v>
      </c>
      <c r="G23" t="n">
        <v>0.3716437555482984</v>
      </c>
      <c r="H23" t="n">
        <v>0.1552839073651769</v>
      </c>
      <c r="I23" t="n">
        <v>5000000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Caribe</t>
        </is>
      </c>
      <c r="B24" t="inlineStr">
        <is>
          <t>Educación</t>
        </is>
      </c>
      <c r="C24" t="inlineStr">
        <is>
          <t>720</t>
        </is>
      </c>
      <c r="D24" t="n">
        <v>0.1816547205317674</v>
      </c>
      <c r="E24" t="n">
        <v>0.04688092672160531</v>
      </c>
      <c r="F24" t="n">
        <v>0.4007766203947844</v>
      </c>
      <c r="G24" t="n">
        <v>0.3348432249526644</v>
      </c>
      <c r="H24" t="n">
        <v>0.1628659411593069</v>
      </c>
      <c r="I24" t="n">
        <v>5000000</v>
      </c>
      <c r="J24" t="n">
        <v>5000000</v>
      </c>
      <c r="K24" t="n">
        <v>93943.89686230259</v>
      </c>
      <c r="L24" t="n">
        <v>908273.6026588371</v>
      </c>
      <c r="M24" t="n">
        <v>814329.7057965345</v>
      </c>
    </row>
    <row r="25">
      <c r="A25" t="inlineStr">
        <is>
          <t>Caribe</t>
        </is>
      </c>
      <c r="B25" t="inlineStr">
        <is>
          <t>Educación</t>
        </is>
      </c>
      <c r="C25" t="inlineStr">
        <is>
          <t>770</t>
        </is>
      </c>
      <c r="D25" t="n">
        <v>0.1810220610392823</v>
      </c>
      <c r="E25" t="n">
        <v>0.03368558801318232</v>
      </c>
      <c r="F25" t="n">
        <v>0.3968631347749427</v>
      </c>
      <c r="G25" t="n">
        <v>0.3026824252593395</v>
      </c>
      <c r="H25" t="n">
        <v>0.1676534929836336</v>
      </c>
      <c r="I25" t="n">
        <v>5000000</v>
      </c>
      <c r="J25" t="n">
        <v>5000000</v>
      </c>
      <c r="K25" t="n">
        <v>66842.84027824385</v>
      </c>
      <c r="L25" t="n">
        <v>905110.3051964117</v>
      </c>
      <c r="M25" t="n">
        <v>838267.4649181679</v>
      </c>
    </row>
    <row r="26">
      <c r="A26" t="inlineStr">
        <is>
          <t>Pacífica</t>
        </is>
      </c>
      <c r="B26" t="inlineStr">
        <is>
          <t>Deuda</t>
        </is>
      </c>
      <c r="C26" t="inlineStr">
        <is>
          <t>680</t>
        </is>
      </c>
      <c r="D26" t="n">
        <v>0.2091312681120345</v>
      </c>
      <c r="E26" t="n">
        <v>0.08856824611957508</v>
      </c>
      <c r="F26" t="n">
        <v>0.5500562480230671</v>
      </c>
      <c r="G26" t="n">
        <v>0.4088270643331243</v>
      </c>
      <c r="H26" t="n">
        <v>0.1604137509575174</v>
      </c>
      <c r="I26" t="n">
        <v>5000000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Pacífica</t>
        </is>
      </c>
      <c r="B27" t="inlineStr">
        <is>
          <t>Deuda</t>
        </is>
      </c>
      <c r="C27" t="inlineStr">
        <is>
          <t>720</t>
        </is>
      </c>
      <c r="D27" t="n">
        <v>0.2020148884545544</v>
      </c>
      <c r="E27" t="n">
        <v>0.06340958472116026</v>
      </c>
      <c r="F27" t="n">
        <v>0.5462301403182056</v>
      </c>
      <c r="G27" t="n">
        <v>0.3659886136538919</v>
      </c>
      <c r="H27" t="n">
        <v>0.1673786620947958</v>
      </c>
      <c r="I27" t="n">
        <v>5000000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Pacífica</t>
        </is>
      </c>
      <c r="B28" t="inlineStr">
        <is>
          <t>Deuda</t>
        </is>
      </c>
      <c r="C28" t="inlineStr">
        <is>
          <t>770</t>
        </is>
      </c>
      <c r="D28" t="n">
        <v>0.2072293740108927</v>
      </c>
      <c r="E28" t="n">
        <v>0.04789359059633393</v>
      </c>
      <c r="F28" t="n">
        <v>0.570748044913316</v>
      </c>
      <c r="G28" t="n">
        <v>0.3508728890641592</v>
      </c>
      <c r="H28" t="n">
        <v>0.1798942008141564</v>
      </c>
      <c r="I28" t="n">
        <v>5000000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Pacífica</t>
        </is>
      </c>
      <c r="B29" t="inlineStr">
        <is>
          <t>Negocio</t>
        </is>
      </c>
      <c r="C29" t="inlineStr">
        <is>
          <t>680</t>
        </is>
      </c>
      <c r="D29" t="n">
        <v>0.2388238794567145</v>
      </c>
      <c r="E29" t="n">
        <v>0.1011735355242393</v>
      </c>
      <c r="F29" t="n">
        <v>0.5769747454164115</v>
      </c>
      <c r="G29" t="n">
        <v>0.3898674306227539</v>
      </c>
      <c r="H29" t="n">
        <v>0.1804493045547383</v>
      </c>
      <c r="I29" t="n">
        <v>5000000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Pacífica</t>
        </is>
      </c>
      <c r="B30" t="inlineStr">
        <is>
          <t>Negocio</t>
        </is>
      </c>
      <c r="C30" t="inlineStr">
        <is>
          <t>720</t>
        </is>
      </c>
      <c r="D30" t="n">
        <v>0.2378862139576397</v>
      </c>
      <c r="E30" t="n">
        <v>0.07957578721605478</v>
      </c>
      <c r="F30" t="n">
        <v>0.5976916684226264</v>
      </c>
      <c r="G30" t="n">
        <v>0.351507736711668</v>
      </c>
      <c r="H30" t="n">
        <v>0.1903244289304321</v>
      </c>
      <c r="I30" t="n">
        <v>5000000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Pacífica</t>
        </is>
      </c>
      <c r="B31" t="inlineStr">
        <is>
          <t>Negocio</t>
        </is>
      </c>
      <c r="C31" t="inlineStr">
        <is>
          <t>770</t>
        </is>
      </c>
      <c r="D31" t="n">
        <v>0.2374350496703607</v>
      </c>
      <c r="E31" t="n">
        <v>0.05268570537437921</v>
      </c>
      <c r="F31" t="n">
        <v>0.6137138737741802</v>
      </c>
      <c r="G31" t="n">
        <v>0.3337596651634338</v>
      </c>
      <c r="H31" t="n">
        <v>0.2051011013325253</v>
      </c>
      <c r="I31" t="n">
        <v>5000000</v>
      </c>
      <c r="J31" t="n">
        <v>5000000</v>
      </c>
      <c r="K31" t="n">
        <v>161669.7416891771</v>
      </c>
      <c r="L31" t="n">
        <v>1187175.248351803</v>
      </c>
      <c r="M31" t="n">
        <v>1025505.506662626</v>
      </c>
    </row>
    <row r="32">
      <c r="A32" t="inlineStr">
        <is>
          <t>Pacífica</t>
        </is>
      </c>
      <c r="B32" t="inlineStr">
        <is>
          <t>Vivienda</t>
        </is>
      </c>
      <c r="C32" t="inlineStr">
        <is>
          <t>680</t>
        </is>
      </c>
      <c r="D32" t="n">
        <v>0.1609059892082324</v>
      </c>
      <c r="E32" t="n">
        <v>0.04602903356917339</v>
      </c>
      <c r="F32" t="n">
        <v>0.3084167658656166</v>
      </c>
      <c r="G32" t="n">
        <v>0.3229907446860386</v>
      </c>
      <c r="H32" t="n">
        <v>0.146709863538908</v>
      </c>
      <c r="I32" t="n">
        <v>5000000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Pacífica</t>
        </is>
      </c>
      <c r="B33" t="inlineStr">
        <is>
          <t>Vivienda</t>
        </is>
      </c>
      <c r="C33" t="inlineStr">
        <is>
          <t>720</t>
        </is>
      </c>
      <c r="D33" t="n">
        <v>0.1602591632731593</v>
      </c>
      <c r="E33" t="n">
        <v>0.03685237866621528</v>
      </c>
      <c r="F33" t="n">
        <v>0.2940567820492159</v>
      </c>
      <c r="G33" t="n">
        <v>0.2871685113519861</v>
      </c>
      <c r="H33" t="n">
        <v>0.1494224713917129</v>
      </c>
      <c r="I33" t="n">
        <v>5000000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Pacífica</t>
        </is>
      </c>
      <c r="B34" t="inlineStr">
        <is>
          <t>Vivienda</t>
        </is>
      </c>
      <c r="C34" t="inlineStr">
        <is>
          <t>770</t>
        </is>
      </c>
      <c r="D34" t="n">
        <v>0.1587156955245977</v>
      </c>
      <c r="E34" t="n">
        <v>0.02509514320999357</v>
      </c>
      <c r="F34" t="n">
        <v>0.2906960194136032</v>
      </c>
      <c r="G34" t="n">
        <v>0.2703428148740302</v>
      </c>
      <c r="H34" t="n">
        <v>0.1514206372868382</v>
      </c>
      <c r="I34" t="n">
        <v>5000000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Pacífica</t>
        </is>
      </c>
      <c r="B35" t="inlineStr">
        <is>
          <t>Educación</t>
        </is>
      </c>
      <c r="C35" t="inlineStr">
        <is>
          <t>680</t>
        </is>
      </c>
      <c r="D35" t="n">
        <v>0.1744139495642802</v>
      </c>
      <c r="E35" t="n">
        <v>0.06170440090439534</v>
      </c>
      <c r="F35" t="n">
        <v>0.3926446061261296</v>
      </c>
      <c r="G35" t="n">
        <v>0.3777496720250877</v>
      </c>
      <c r="H35" t="n">
        <v>0.1501860493749251</v>
      </c>
      <c r="I35" t="n">
        <v>5000000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Pacífica</t>
        </is>
      </c>
      <c r="B36" t="inlineStr">
        <is>
          <t>Educación</t>
        </is>
      </c>
      <c r="C36" t="inlineStr">
        <is>
          <t>720</t>
        </is>
      </c>
      <c r="D36" t="n">
        <v>0.1754084852661136</v>
      </c>
      <c r="E36" t="n">
        <v>0.04403043434968487</v>
      </c>
      <c r="F36" t="n">
        <v>0.4065081377389574</v>
      </c>
      <c r="G36" t="n">
        <v>0.3238456784178302</v>
      </c>
      <c r="H36" t="n">
        <v>0.1575097553947858</v>
      </c>
      <c r="I36" t="n">
        <v>5000000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Pacífica</t>
        </is>
      </c>
      <c r="B37" t="inlineStr">
        <is>
          <t>Educación</t>
        </is>
      </c>
      <c r="C37" t="inlineStr">
        <is>
          <t>770</t>
        </is>
      </c>
      <c r="D37" t="n">
        <v>0.1790106672069291</v>
      </c>
      <c r="E37" t="n">
        <v>0.03404465989890877</v>
      </c>
      <c r="F37" t="n">
        <v>0.3871401341235102</v>
      </c>
      <c r="G37" t="n">
        <v>0.3109231692926616</v>
      </c>
      <c r="H37" t="n">
        <v>0.1658306130074763</v>
      </c>
      <c r="I37" t="n">
        <v>5000000</v>
      </c>
      <c r="J37" t="n">
        <v>5000000</v>
      </c>
      <c r="K37" t="n">
        <v>65900.27099726416</v>
      </c>
      <c r="L37" t="n">
        <v>895053.3360346454</v>
      </c>
      <c r="M37" t="n">
        <v>829153.0650373813</v>
      </c>
    </row>
    <row r="38">
      <c r="A38" t="inlineStr">
        <is>
          <t>Orinoquía</t>
        </is>
      </c>
      <c r="B38" t="inlineStr">
        <is>
          <t>Deuda</t>
        </is>
      </c>
      <c r="C38" t="inlineStr">
        <is>
          <t>680</t>
        </is>
      </c>
      <c r="D38" t="n">
        <v>0.2132024228132018</v>
      </c>
      <c r="E38" t="n">
        <v>0.09167083623875283</v>
      </c>
      <c r="F38" t="n">
        <v>0.5363935421803412</v>
      </c>
      <c r="G38" t="n">
        <v>0.4033977169345787</v>
      </c>
      <c r="H38" t="n">
        <v>0.1640307782484632</v>
      </c>
      <c r="I38" t="n">
        <v>5000000</v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Orinoquía</t>
        </is>
      </c>
      <c r="B39" t="inlineStr">
        <is>
          <t>Deuda</t>
        </is>
      </c>
      <c r="C39" t="inlineStr">
        <is>
          <t>720</t>
        </is>
      </c>
      <c r="D39" t="n">
        <v>0.2143140761213469</v>
      </c>
      <c r="E39" t="n">
        <v>0.06603817395359435</v>
      </c>
      <c r="F39" t="n">
        <v>0.5527554213538046</v>
      </c>
      <c r="G39" t="n">
        <v>0.3717322410474849</v>
      </c>
      <c r="H39" t="n">
        <v>0.177811117452192</v>
      </c>
      <c r="I39" t="n">
        <v>5000000</v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Orinoquía</t>
        </is>
      </c>
      <c r="B40" t="inlineStr">
        <is>
          <t>Deuda</t>
        </is>
      </c>
      <c r="C40" t="inlineStr">
        <is>
          <t>770</t>
        </is>
      </c>
      <c r="D40" t="n">
        <v>0.209215335131064</v>
      </c>
      <c r="E40" t="n">
        <v>0.04856604787442225</v>
      </c>
      <c r="F40" t="n">
        <v>0.5532237972062856</v>
      </c>
      <c r="G40" t="n">
        <v>0.3464282429098681</v>
      </c>
      <c r="H40" t="n">
        <v>0.1823474417106739</v>
      </c>
      <c r="I40" t="n">
        <v>5000000</v>
      </c>
      <c r="J40" t="n">
        <v>5000000</v>
      </c>
      <c r="K40" t="n">
        <v>134339.4671019507</v>
      </c>
      <c r="L40" t="n">
        <v>1046076.67565532</v>
      </c>
      <c r="M40" t="n">
        <v>911737.2085533694</v>
      </c>
    </row>
    <row r="41">
      <c r="A41" t="inlineStr">
        <is>
          <t>Orinoquía</t>
        </is>
      </c>
      <c r="B41" t="inlineStr">
        <is>
          <t>Negocio</t>
        </is>
      </c>
      <c r="C41" t="inlineStr">
        <is>
          <t>680</t>
        </is>
      </c>
      <c r="D41" t="n">
        <v>0.2514452748300298</v>
      </c>
      <c r="E41" t="n">
        <v>0.104819118971287</v>
      </c>
      <c r="F41" t="n">
        <v>0.5857043580335681</v>
      </c>
      <c r="G41" t="n">
        <v>0.3932827680431691</v>
      </c>
      <c r="H41" t="n">
        <v>0.1900522600433079</v>
      </c>
      <c r="I41" t="n">
        <v>5000000</v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Orinoquía</t>
        </is>
      </c>
      <c r="B42" t="inlineStr">
        <is>
          <t>Negocio</t>
        </is>
      </c>
      <c r="C42" t="inlineStr">
        <is>
          <t>720</t>
        </is>
      </c>
      <c r="D42" t="n">
        <v>0.2376747432627379</v>
      </c>
      <c r="E42" t="n">
        <v>0.07730833694092946</v>
      </c>
      <c r="F42" t="n">
        <v>0.6139031469480888</v>
      </c>
      <c r="G42" t="n">
        <v>0.3458965884082414</v>
      </c>
      <c r="H42" t="n">
        <v>0.1902149119293781</v>
      </c>
      <c r="I42" t="n">
        <v>5000000</v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Orinoquía</t>
        </is>
      </c>
      <c r="B43" t="inlineStr">
        <is>
          <t>Negocio</t>
        </is>
      </c>
      <c r="C43" t="inlineStr">
        <is>
          <t>770</t>
        </is>
      </c>
      <c r="D43" t="n">
        <v>0.2470704474745765</v>
      </c>
      <c r="E43" t="n">
        <v>0.05633913775752048</v>
      </c>
      <c r="F43" t="n">
        <v>0.6098647219199338</v>
      </c>
      <c r="G43" t="n">
        <v>0.3394839649132697</v>
      </c>
      <c r="H43" t="n">
        <v>0.2127111948928774</v>
      </c>
      <c r="I43" t="n">
        <v>5000000</v>
      </c>
      <c r="J43" t="n">
        <v>5000000</v>
      </c>
      <c r="K43" t="n">
        <v>171796.2629084954</v>
      </c>
      <c r="L43" t="n">
        <v>1235352.237372882</v>
      </c>
      <c r="M43" t="n">
        <v>1063555.974464387</v>
      </c>
    </row>
    <row r="44">
      <c r="A44" t="inlineStr">
        <is>
          <t>Orinoquía</t>
        </is>
      </c>
      <c r="B44" t="inlineStr">
        <is>
          <t>Vivienda</t>
        </is>
      </c>
      <c r="C44" t="inlineStr">
        <is>
          <t>680</t>
        </is>
      </c>
      <c r="D44" t="n">
        <v>0.1608069056090787</v>
      </c>
      <c r="E44" t="n">
        <v>0.04713941914379116</v>
      </c>
      <c r="F44" t="n">
        <v>0.2946629134222469</v>
      </c>
      <c r="G44" t="n">
        <v>0.3259209485751728</v>
      </c>
      <c r="H44" t="n">
        <v>0.1469166670271368</v>
      </c>
      <c r="I44" t="n">
        <v>5000000</v>
      </c>
      <c r="J44" t="n">
        <v>0</v>
      </c>
      <c r="K44" t="n">
        <v>0</v>
      </c>
      <c r="L44" t="n">
        <v>0</v>
      </c>
      <c r="M44" t="n">
        <v>0</v>
      </c>
    </row>
    <row r="45">
      <c r="A45" t="inlineStr">
        <is>
          <t>Orinoquía</t>
        </is>
      </c>
      <c r="B45" t="inlineStr">
        <is>
          <t>Vivienda</t>
        </is>
      </c>
      <c r="C45" t="inlineStr">
        <is>
          <t>720</t>
        </is>
      </c>
      <c r="D45" t="n">
        <v>0.1613508072751736</v>
      </c>
      <c r="E45" t="n">
        <v>0.03560571704057238</v>
      </c>
      <c r="F45" t="n">
        <v>0.3016601447959801</v>
      </c>
      <c r="G45" t="n">
        <v>0.2941359162451801</v>
      </c>
      <c r="H45" t="n">
        <v>0.1506099815171498</v>
      </c>
      <c r="I45" t="n">
        <v>5000000</v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Orinoquía</t>
        </is>
      </c>
      <c r="B46" t="inlineStr">
        <is>
          <t>Vivienda</t>
        </is>
      </c>
      <c r="C46" t="inlineStr">
        <is>
          <t>770</t>
        </is>
      </c>
      <c r="D46" t="n">
        <v>0.1616420221145494</v>
      </c>
      <c r="E46" t="n">
        <v>0.02710244839951327</v>
      </c>
      <c r="F46" t="n">
        <v>0.2984120590005722</v>
      </c>
      <c r="G46" t="n">
        <v>0.2836008458329481</v>
      </c>
      <c r="H46" t="n">
        <v>0.1535543246836939</v>
      </c>
      <c r="I46" t="n">
        <v>5000000</v>
      </c>
      <c r="J46" t="n">
        <v>5000000</v>
      </c>
      <c r="K46" t="n">
        <v>40438.48715427759</v>
      </c>
      <c r="L46" t="n">
        <v>808210.110572747</v>
      </c>
      <c r="M46" t="n">
        <v>767771.6234184693</v>
      </c>
    </row>
    <row r="47">
      <c r="A47" t="inlineStr">
        <is>
          <t>Orinoquía</t>
        </is>
      </c>
      <c r="B47" t="inlineStr">
        <is>
          <t>Educación</t>
        </is>
      </c>
      <c r="C47" t="inlineStr">
        <is>
          <t>680</t>
        </is>
      </c>
      <c r="D47" t="n">
        <v>0.1840749264764735</v>
      </c>
      <c r="E47" t="n">
        <v>0.0604154297977988</v>
      </c>
      <c r="F47" t="n">
        <v>0.3914328600155111</v>
      </c>
      <c r="G47" t="n">
        <v>0.3724123620762159</v>
      </c>
      <c r="H47" t="n">
        <v>0.1604263420016548</v>
      </c>
      <c r="I47" t="n">
        <v>5000000</v>
      </c>
      <c r="J47" t="n">
        <v>0</v>
      </c>
      <c r="K47" t="n">
        <v>0</v>
      </c>
      <c r="L47" t="n">
        <v>0</v>
      </c>
      <c r="M47" t="n">
        <v>0</v>
      </c>
    </row>
    <row r="48">
      <c r="A48" t="inlineStr">
        <is>
          <t>Orinoquía</t>
        </is>
      </c>
      <c r="B48" t="inlineStr">
        <is>
          <t>Educación</t>
        </is>
      </c>
      <c r="C48" t="inlineStr">
        <is>
          <t>720</t>
        </is>
      </c>
      <c r="D48" t="n">
        <v>0.1809874893125552</v>
      </c>
      <c r="E48" t="n">
        <v>0.04628564797169349</v>
      </c>
      <c r="F48" t="n">
        <v>0.4037859009965883</v>
      </c>
      <c r="G48" t="n">
        <v>0.3296358554367156</v>
      </c>
      <c r="H48" t="n">
        <v>0.162297997243094</v>
      </c>
      <c r="I48" t="n">
        <v>5000000</v>
      </c>
      <c r="J48" t="n">
        <v>0</v>
      </c>
      <c r="K48" t="n">
        <v>0</v>
      </c>
      <c r="L48" t="n">
        <v>0</v>
      </c>
      <c r="M48" t="n">
        <v>0</v>
      </c>
    </row>
    <row r="49">
      <c r="A49" t="inlineStr">
        <is>
          <t>Orinoquía</t>
        </is>
      </c>
      <c r="B49" t="inlineStr">
        <is>
          <t>Educación</t>
        </is>
      </c>
      <c r="C49" t="inlineStr">
        <is>
          <t>770</t>
        </is>
      </c>
      <c r="D49" t="n">
        <v>0.1787210580411033</v>
      </c>
      <c r="E49" t="n">
        <v>0.03187257753503217</v>
      </c>
      <c r="F49" t="n">
        <v>0.3964278803834638</v>
      </c>
      <c r="G49" t="n">
        <v>0.3142819939716174</v>
      </c>
      <c r="H49" t="n">
        <v>0.1660858796865329</v>
      </c>
      <c r="I49" t="n">
        <v>5000000</v>
      </c>
      <c r="J49" t="n">
        <v>5000000</v>
      </c>
      <c r="K49" t="n">
        <v>63175.89177285205</v>
      </c>
      <c r="L49" t="n">
        <v>893605.2902055164</v>
      </c>
      <c r="M49" t="n">
        <v>830429.3984326643</v>
      </c>
    </row>
    <row r="50">
      <c r="A50" t="inlineStr">
        <is>
          <t>Amazonía</t>
        </is>
      </c>
      <c r="B50" t="inlineStr">
        <is>
          <t>Deuda</t>
        </is>
      </c>
      <c r="C50" t="inlineStr">
        <is>
          <t>680</t>
        </is>
      </c>
      <c r="D50" t="n">
        <v>0.2172261695371073</v>
      </c>
      <c r="E50" t="n">
        <v>0.08947625741556164</v>
      </c>
      <c r="F50" t="n">
        <v>0.551904990184363</v>
      </c>
      <c r="G50" t="n">
        <v>0.4119265868986442</v>
      </c>
      <c r="H50" t="n">
        <v>0.1678437765664382</v>
      </c>
      <c r="I50" t="n">
        <v>5000000</v>
      </c>
      <c r="J50" t="n">
        <v>0</v>
      </c>
      <c r="K50" t="n">
        <v>0</v>
      </c>
      <c r="L50" t="n">
        <v>0</v>
      </c>
      <c r="M50" t="n">
        <v>0</v>
      </c>
    </row>
    <row r="51">
      <c r="A51" t="inlineStr">
        <is>
          <t>Amazonía</t>
        </is>
      </c>
      <c r="B51" t="inlineStr">
        <is>
          <t>Deuda</t>
        </is>
      </c>
      <c r="C51" t="inlineStr">
        <is>
          <t>720</t>
        </is>
      </c>
      <c r="D51" t="n">
        <v>0.2124764327309939</v>
      </c>
      <c r="E51" t="n">
        <v>0.06823825333464049</v>
      </c>
      <c r="F51" t="n">
        <v>0.550640295902906</v>
      </c>
      <c r="G51" t="n">
        <v>0.3642851485108469</v>
      </c>
      <c r="H51" t="n">
        <v>0.17490170072291</v>
      </c>
      <c r="I51" t="n">
        <v>5000000</v>
      </c>
      <c r="J51" t="n">
        <v>0</v>
      </c>
      <c r="K51" t="n">
        <v>0</v>
      </c>
      <c r="L51" t="n">
        <v>0</v>
      </c>
      <c r="M51" t="n">
        <v>0</v>
      </c>
    </row>
    <row r="52">
      <c r="A52" t="inlineStr">
        <is>
          <t>Amazonía</t>
        </is>
      </c>
      <c r="B52" t="inlineStr">
        <is>
          <t>Deuda</t>
        </is>
      </c>
      <c r="C52" t="inlineStr">
        <is>
          <t>770</t>
        </is>
      </c>
      <c r="D52" t="n">
        <v>0.2178477881208667</v>
      </c>
      <c r="E52" t="n">
        <v>0.05089201796634191</v>
      </c>
      <c r="F52" t="n">
        <v>0.5619135636749282</v>
      </c>
      <c r="G52" t="n">
        <v>0.3552690102601745</v>
      </c>
      <c r="H52" t="n">
        <v>0.189250872942791</v>
      </c>
      <c r="I52" t="n">
        <v>5000000</v>
      </c>
      <c r="J52" t="n">
        <v>0</v>
      </c>
      <c r="K52" t="n">
        <v>0</v>
      </c>
      <c r="L52" t="n">
        <v>0</v>
      </c>
      <c r="M52" t="n">
        <v>0</v>
      </c>
    </row>
    <row r="53">
      <c r="A53" t="inlineStr">
        <is>
          <t>Amazonía</t>
        </is>
      </c>
      <c r="B53" t="inlineStr">
        <is>
          <t>Negocio</t>
        </is>
      </c>
      <c r="C53" t="inlineStr">
        <is>
          <t>680</t>
        </is>
      </c>
      <c r="D53" t="n">
        <v>0.2403888026448202</v>
      </c>
      <c r="E53" t="n">
        <v>0.1042325479340731</v>
      </c>
      <c r="F53" t="n">
        <v>0.6061804232065039</v>
      </c>
      <c r="G53" t="n">
        <v>0.392568929754561</v>
      </c>
      <c r="H53" t="n">
        <v>0.1772050726262515</v>
      </c>
      <c r="I53" t="n">
        <v>5000000</v>
      </c>
      <c r="J53" t="n">
        <v>0</v>
      </c>
      <c r="K53" t="n">
        <v>0</v>
      </c>
      <c r="L53" t="n">
        <v>0</v>
      </c>
      <c r="M53" t="n">
        <v>0</v>
      </c>
    </row>
    <row r="54">
      <c r="A54" t="inlineStr">
        <is>
          <t>Amazonía</t>
        </is>
      </c>
      <c r="B54" t="inlineStr">
        <is>
          <t>Negocio</t>
        </is>
      </c>
      <c r="C54" t="inlineStr">
        <is>
          <t>720</t>
        </is>
      </c>
      <c r="D54" t="n">
        <v>0.2497463957610971</v>
      </c>
      <c r="E54" t="n">
        <v>0.0874337349174019</v>
      </c>
      <c r="F54" t="n">
        <v>0.6068506861283179</v>
      </c>
      <c r="G54" t="n">
        <v>0.355677828200903</v>
      </c>
      <c r="H54" t="n">
        <v>0.1966871737357103</v>
      </c>
      <c r="I54" t="n">
        <v>5000000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Amazonía</t>
        </is>
      </c>
      <c r="B55" t="inlineStr">
        <is>
          <t>Negocio</t>
        </is>
      </c>
      <c r="C55" t="inlineStr">
        <is>
          <t>770</t>
        </is>
      </c>
      <c r="D55" t="n">
        <v>0.2519165847187104</v>
      </c>
      <c r="E55" t="n">
        <v>0.05887853534288729</v>
      </c>
      <c r="F55" t="n">
        <v>0.5962167690643158</v>
      </c>
      <c r="G55" t="n">
        <v>0.3337948461024663</v>
      </c>
      <c r="H55" t="n">
        <v>0.216812214609335</v>
      </c>
      <c r="I55" t="n">
        <v>5000000</v>
      </c>
      <c r="J55" t="n">
        <v>5000000</v>
      </c>
      <c r="K55" t="n">
        <v>175521.8505468769</v>
      </c>
      <c r="L55" t="n">
        <v>1259582.923593552</v>
      </c>
      <c r="M55" t="n">
        <v>1084061.073046675</v>
      </c>
    </row>
    <row r="56">
      <c r="A56" t="inlineStr">
        <is>
          <t>Amazonía</t>
        </is>
      </c>
      <c r="B56" t="inlineStr">
        <is>
          <t>Vivienda</t>
        </is>
      </c>
      <c r="C56" t="inlineStr">
        <is>
          <t>680</t>
        </is>
      </c>
      <c r="D56" t="n">
        <v>0.1622527680928842</v>
      </c>
      <c r="E56" t="n">
        <v>0.04969441686197989</v>
      </c>
      <c r="F56" t="n">
        <v>0.2970878187130254</v>
      </c>
      <c r="G56" t="n">
        <v>0.3304093706969315</v>
      </c>
      <c r="H56" t="n">
        <v>0.1474891621851428</v>
      </c>
      <c r="I56" t="n">
        <v>5000000</v>
      </c>
      <c r="J56" t="n">
        <v>0</v>
      </c>
      <c r="K56" t="n">
        <v>0</v>
      </c>
      <c r="L56" t="n">
        <v>0</v>
      </c>
      <c r="M56" t="n">
        <v>0</v>
      </c>
    </row>
    <row r="57">
      <c r="A57" t="inlineStr">
        <is>
          <t>Amazonía</t>
        </is>
      </c>
      <c r="B57" t="inlineStr">
        <is>
          <t>Vivienda</t>
        </is>
      </c>
      <c r="C57" t="inlineStr">
        <is>
          <t>720</t>
        </is>
      </c>
      <c r="D57" t="n">
        <v>0.1724291146357559</v>
      </c>
      <c r="E57" t="n">
        <v>0.03452614326742871</v>
      </c>
      <c r="F57" t="n">
        <v>0.304117561142247</v>
      </c>
      <c r="G57" t="n">
        <v>0.2819364206440517</v>
      </c>
      <c r="H57" t="n">
        <v>0.1619291081496177</v>
      </c>
      <c r="I57" t="n">
        <v>5000000</v>
      </c>
      <c r="J57" t="n">
        <v>5000000</v>
      </c>
      <c r="K57" t="n">
        <v>52500.03243069115</v>
      </c>
      <c r="L57" t="n">
        <v>862145.5731787795</v>
      </c>
      <c r="M57" t="n">
        <v>809645.5407480884</v>
      </c>
    </row>
    <row r="58">
      <c r="A58" t="inlineStr">
        <is>
          <t>Amazonía</t>
        </is>
      </c>
      <c r="B58" t="inlineStr">
        <is>
          <t>Vivienda</t>
        </is>
      </c>
      <c r="C58" t="inlineStr">
        <is>
          <t>770</t>
        </is>
      </c>
      <c r="D58" t="n">
        <v>0.163244512570358</v>
      </c>
      <c r="E58" t="n">
        <v>0.02783041655764812</v>
      </c>
      <c r="F58" t="n">
        <v>0.3003856801145728</v>
      </c>
      <c r="G58" t="n">
        <v>0.2646112761103535</v>
      </c>
      <c r="H58" t="n">
        <v>0.154884653964817</v>
      </c>
      <c r="I58" t="n">
        <v>5000000</v>
      </c>
      <c r="J58" t="n">
        <v>5000000</v>
      </c>
      <c r="K58" t="n">
        <v>41799.29302770498</v>
      </c>
      <c r="L58" t="n">
        <v>816222.5628517902</v>
      </c>
      <c r="M58" t="n">
        <v>774423.2698240852</v>
      </c>
    </row>
    <row r="59">
      <c r="A59" t="inlineStr">
        <is>
          <t>Amazonía</t>
        </is>
      </c>
      <c r="B59" t="inlineStr">
        <is>
          <t>Educación</t>
        </is>
      </c>
      <c r="C59" t="inlineStr">
        <is>
          <t>680</t>
        </is>
      </c>
      <c r="D59" t="n">
        <v>0.1827476538460641</v>
      </c>
      <c r="E59" t="n">
        <v>0.06566196345431839</v>
      </c>
      <c r="F59" t="n">
        <v>0.3941570669462629</v>
      </c>
      <c r="G59" t="n">
        <v>0.3710822929479099</v>
      </c>
      <c r="H59" t="n">
        <v>0.1568665269209772</v>
      </c>
      <c r="I59" t="n">
        <v>5000000</v>
      </c>
      <c r="J59" t="n">
        <v>0</v>
      </c>
      <c r="K59" t="n">
        <v>0</v>
      </c>
      <c r="L59" t="n">
        <v>0</v>
      </c>
      <c r="M59" t="n">
        <v>0</v>
      </c>
    </row>
    <row r="60">
      <c r="A60" t="inlineStr">
        <is>
          <t>Amazonía</t>
        </is>
      </c>
      <c r="B60" t="inlineStr">
        <is>
          <t>Educación</t>
        </is>
      </c>
      <c r="C60" t="inlineStr">
        <is>
          <t>720</t>
        </is>
      </c>
      <c r="D60" t="n">
        <v>0.1855689803823634</v>
      </c>
      <c r="E60" t="n">
        <v>0.04610575480961509</v>
      </c>
      <c r="F60" t="n">
        <v>0.4171515527146026</v>
      </c>
      <c r="G60" t="n">
        <v>0.3331695951115901</v>
      </c>
      <c r="H60" t="n">
        <v>0.1663358931744537</v>
      </c>
      <c r="I60" t="n">
        <v>5000000</v>
      </c>
      <c r="J60" t="n">
        <v>0</v>
      </c>
      <c r="K60" t="n">
        <v>0</v>
      </c>
      <c r="L60" t="n">
        <v>0</v>
      </c>
      <c r="M60" t="n">
        <v>0</v>
      </c>
    </row>
    <row r="61">
      <c r="A61" t="inlineStr">
        <is>
          <t>Amazonía</t>
        </is>
      </c>
      <c r="B61" t="inlineStr">
        <is>
          <t>Educación</t>
        </is>
      </c>
      <c r="C61" t="inlineStr">
        <is>
          <t>770</t>
        </is>
      </c>
      <c r="D61" t="n">
        <v>0.1778907712886736</v>
      </c>
      <c r="E61" t="n">
        <v>0.03484381926020282</v>
      </c>
      <c r="F61" t="n">
        <v>0.3947057082818529</v>
      </c>
      <c r="G61" t="n">
        <v>0.3142621666739812</v>
      </c>
      <c r="H61" t="n">
        <v>0.1641377169283304</v>
      </c>
      <c r="I61" t="n">
        <v>5000000</v>
      </c>
      <c r="J61" t="n">
        <v>0</v>
      </c>
      <c r="K61" t="n">
        <v>0</v>
      </c>
      <c r="L61" t="n">
        <v>0</v>
      </c>
      <c r="M6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  <c r="C1" t="inlineStr">
        <is>
          <t>Notas</t>
        </is>
      </c>
    </row>
    <row r="2">
      <c r="A2" t="inlineStr">
        <is>
          <t>BUDGET</t>
        </is>
      </c>
      <c r="B2" t="n">
        <v>100000000</v>
      </c>
      <c r="C2" t="inlineStr">
        <is>
          <t>Presupuesto total de colocación (celda nombrada)</t>
        </is>
      </c>
    </row>
    <row r="3">
      <c r="A3" t="inlineStr">
        <is>
          <t>FICO_MIN</t>
        </is>
      </c>
      <c r="B3" t="n">
        <v>700</v>
      </c>
      <c r="C3" t="inlineStr">
        <is>
          <t>Umbral mínimo promedio de FICO (restricción lineal)</t>
        </is>
      </c>
    </row>
    <row r="4">
      <c r="A4" t="inlineStr">
        <is>
          <t>DTI_MAX</t>
        </is>
      </c>
      <c r="B4" t="n">
        <v>0.35</v>
      </c>
      <c r="C4" t="inlineStr">
        <is>
          <t>Umbral máximo promedio de DTI (restricción lineal)</t>
        </is>
      </c>
    </row>
    <row r="5">
      <c r="A5" t="inlineStr">
        <is>
          <t>Nombre</t>
        </is>
      </c>
      <c r="B5" t="inlineStr">
        <is>
          <t>Región</t>
        </is>
      </c>
      <c r="C5" t="inlineStr">
        <is>
          <t>Propósito</t>
        </is>
      </c>
      <c r="D5" t="inlineStr">
        <is>
          <t>FICO_mid</t>
        </is>
      </c>
      <c r="E5" t="inlineStr">
        <is>
          <t>APR</t>
        </is>
      </c>
      <c r="F5" t="inlineStr">
        <is>
          <t>PD</t>
        </is>
      </c>
      <c r="G5" t="inlineStr">
        <is>
          <t>LGD</t>
        </is>
      </c>
      <c r="H5" t="inlineStr">
        <is>
          <t>DTI</t>
        </is>
      </c>
      <c r="I5" t="inlineStr">
        <is>
          <t>EAD_cap</t>
        </is>
      </c>
      <c r="J5" t="inlineStr">
        <is>
          <t>x_vars</t>
        </is>
      </c>
      <c r="K5" t="inlineStr">
        <is>
          <t>RAR_per_unit</t>
        </is>
      </c>
      <c r="L5" t="inlineStr">
        <is>
          <t>EL_per_unit</t>
        </is>
      </c>
    </row>
    <row r="6">
      <c r="A6" t="inlineStr">
        <is>
          <t>seg_01</t>
        </is>
      </c>
      <c r="B6">
        <f>INDEX(Data!A:A,2)</f>
        <v/>
      </c>
      <c r="C6">
        <f>INDEX(Data!B:B,2)</f>
        <v/>
      </c>
      <c r="D6">
        <f>INDEX(Data!C:C,2)</f>
        <v/>
      </c>
      <c r="E6">
        <f>INDEX(Data!D:D,2)</f>
        <v/>
      </c>
      <c r="F6">
        <f>INDEX(Data!E:E,2)</f>
        <v/>
      </c>
      <c r="G6">
        <f>INDEX(Data!F:F,2)</f>
        <v/>
      </c>
      <c r="H6">
        <f>INDEX(Data!G:G,2)</f>
        <v/>
      </c>
      <c r="I6">
        <f>INDEX(Data!H:H,2)*0+5000000.0</f>
        <v/>
      </c>
      <c r="J6" t="n">
        <v>0</v>
      </c>
      <c r="K6">
        <f>E6-F6*G6</f>
        <v/>
      </c>
      <c r="L6">
        <f>F6*G6</f>
        <v/>
      </c>
    </row>
    <row r="7">
      <c r="A7" t="inlineStr">
        <is>
          <t>seg_02</t>
        </is>
      </c>
      <c r="B7">
        <f>INDEX(Data!A:A,3)</f>
        <v/>
      </c>
      <c r="C7">
        <f>INDEX(Data!B:B,3)</f>
        <v/>
      </c>
      <c r="D7">
        <f>INDEX(Data!C:C,3)</f>
        <v/>
      </c>
      <c r="E7">
        <f>INDEX(Data!D:D,3)</f>
        <v/>
      </c>
      <c r="F7">
        <f>INDEX(Data!E:E,3)</f>
        <v/>
      </c>
      <c r="G7">
        <f>INDEX(Data!F:F,3)</f>
        <v/>
      </c>
      <c r="H7">
        <f>INDEX(Data!G:G,3)</f>
        <v/>
      </c>
      <c r="I7">
        <f>INDEX(Data!H:H,3)*0+5000000.0</f>
        <v/>
      </c>
      <c r="J7" t="n">
        <v>0</v>
      </c>
      <c r="K7">
        <f>E7-F7*G7</f>
        <v/>
      </c>
      <c r="L7">
        <f>F7*G7</f>
        <v/>
      </c>
    </row>
    <row r="8">
      <c r="A8" t="inlineStr">
        <is>
          <t>seg_03</t>
        </is>
      </c>
      <c r="B8">
        <f>INDEX(Data!A:A,4)</f>
        <v/>
      </c>
      <c r="C8">
        <f>INDEX(Data!B:B,4)</f>
        <v/>
      </c>
      <c r="D8">
        <f>INDEX(Data!C:C,4)</f>
        <v/>
      </c>
      <c r="E8">
        <f>INDEX(Data!D:D,4)</f>
        <v/>
      </c>
      <c r="F8">
        <f>INDEX(Data!E:E,4)</f>
        <v/>
      </c>
      <c r="G8">
        <f>INDEX(Data!F:F,4)</f>
        <v/>
      </c>
      <c r="H8">
        <f>INDEX(Data!G:G,4)</f>
        <v/>
      </c>
      <c r="I8">
        <f>INDEX(Data!H:H,4)*0+5000000.0</f>
        <v/>
      </c>
      <c r="J8" t="n">
        <v>5000000</v>
      </c>
      <c r="K8">
        <f>E8-F8*G8</f>
        <v/>
      </c>
      <c r="L8">
        <f>F8*G8</f>
        <v/>
      </c>
    </row>
    <row r="9">
      <c r="A9" t="inlineStr">
        <is>
          <t>seg_04</t>
        </is>
      </c>
      <c r="B9">
        <f>INDEX(Data!A:A,5)</f>
        <v/>
      </c>
      <c r="C9">
        <f>INDEX(Data!B:B,5)</f>
        <v/>
      </c>
      <c r="D9">
        <f>INDEX(Data!C:C,5)</f>
        <v/>
      </c>
      <c r="E9">
        <f>INDEX(Data!D:D,5)</f>
        <v/>
      </c>
      <c r="F9">
        <f>INDEX(Data!E:E,5)</f>
        <v/>
      </c>
      <c r="G9">
        <f>INDEX(Data!F:F,5)</f>
        <v/>
      </c>
      <c r="H9">
        <f>INDEX(Data!G:G,5)</f>
        <v/>
      </c>
      <c r="I9">
        <f>INDEX(Data!H:H,5)*0+5000000.0</f>
        <v/>
      </c>
      <c r="J9" t="n">
        <v>0</v>
      </c>
      <c r="K9">
        <f>E9-F9*G9</f>
        <v/>
      </c>
      <c r="L9">
        <f>F9*G9</f>
        <v/>
      </c>
    </row>
    <row r="10">
      <c r="A10" t="inlineStr">
        <is>
          <t>seg_05</t>
        </is>
      </c>
      <c r="B10">
        <f>INDEX(Data!A:A,6)</f>
        <v/>
      </c>
      <c r="C10">
        <f>INDEX(Data!B:B,6)</f>
        <v/>
      </c>
      <c r="D10">
        <f>INDEX(Data!C:C,6)</f>
        <v/>
      </c>
      <c r="E10">
        <f>INDEX(Data!D:D,6)</f>
        <v/>
      </c>
      <c r="F10">
        <f>INDEX(Data!E:E,6)</f>
        <v/>
      </c>
      <c r="G10">
        <f>INDEX(Data!F:F,6)</f>
        <v/>
      </c>
      <c r="H10">
        <f>INDEX(Data!G:G,6)</f>
        <v/>
      </c>
      <c r="I10">
        <f>INDEX(Data!H:H,6)*0+5000000.0</f>
        <v/>
      </c>
      <c r="J10" t="n">
        <v>5000000</v>
      </c>
      <c r="K10">
        <f>E10-F10*G10</f>
        <v/>
      </c>
      <c r="L10">
        <f>F10*G10</f>
        <v/>
      </c>
    </row>
    <row r="11">
      <c r="A11" t="inlineStr">
        <is>
          <t>seg_06</t>
        </is>
      </c>
      <c r="B11">
        <f>INDEX(Data!A:A,7)</f>
        <v/>
      </c>
      <c r="C11">
        <f>INDEX(Data!B:B,7)</f>
        <v/>
      </c>
      <c r="D11">
        <f>INDEX(Data!C:C,7)</f>
        <v/>
      </c>
      <c r="E11">
        <f>INDEX(Data!D:D,7)</f>
        <v/>
      </c>
      <c r="F11">
        <f>INDEX(Data!E:E,7)</f>
        <v/>
      </c>
      <c r="G11">
        <f>INDEX(Data!F:F,7)</f>
        <v/>
      </c>
      <c r="H11">
        <f>INDEX(Data!G:G,7)</f>
        <v/>
      </c>
      <c r="I11">
        <f>INDEX(Data!H:H,7)*0+5000000.0</f>
        <v/>
      </c>
      <c r="J11" t="n">
        <v>5000000</v>
      </c>
      <c r="K11">
        <f>E11-F11*G11</f>
        <v/>
      </c>
      <c r="L11">
        <f>F11*G11</f>
        <v/>
      </c>
    </row>
    <row r="12">
      <c r="A12" t="inlineStr">
        <is>
          <t>seg_07</t>
        </is>
      </c>
      <c r="B12">
        <f>INDEX(Data!A:A,8)</f>
        <v/>
      </c>
      <c r="C12">
        <f>INDEX(Data!B:B,8)</f>
        <v/>
      </c>
      <c r="D12">
        <f>INDEX(Data!C:C,8)</f>
        <v/>
      </c>
      <c r="E12">
        <f>INDEX(Data!D:D,8)</f>
        <v/>
      </c>
      <c r="F12">
        <f>INDEX(Data!E:E,8)</f>
        <v/>
      </c>
      <c r="G12">
        <f>INDEX(Data!F:F,8)</f>
        <v/>
      </c>
      <c r="H12">
        <f>INDEX(Data!G:G,8)</f>
        <v/>
      </c>
      <c r="I12">
        <f>INDEX(Data!H:H,8)*0+5000000.0</f>
        <v/>
      </c>
      <c r="J12" t="n">
        <v>0</v>
      </c>
      <c r="K12">
        <f>E12-F12*G12</f>
        <v/>
      </c>
      <c r="L12">
        <f>F12*G12</f>
        <v/>
      </c>
    </row>
    <row r="13">
      <c r="A13" t="inlineStr">
        <is>
          <t>seg_08</t>
        </is>
      </c>
      <c r="B13">
        <f>INDEX(Data!A:A,9)</f>
        <v/>
      </c>
      <c r="C13">
        <f>INDEX(Data!B:B,9)</f>
        <v/>
      </c>
      <c r="D13">
        <f>INDEX(Data!C:C,9)</f>
        <v/>
      </c>
      <c r="E13">
        <f>INDEX(Data!D:D,9)</f>
        <v/>
      </c>
      <c r="F13">
        <f>INDEX(Data!E:E,9)</f>
        <v/>
      </c>
      <c r="G13">
        <f>INDEX(Data!F:F,9)</f>
        <v/>
      </c>
      <c r="H13">
        <f>INDEX(Data!G:G,9)</f>
        <v/>
      </c>
      <c r="I13">
        <f>INDEX(Data!H:H,9)*0+5000000.0</f>
        <v/>
      </c>
      <c r="J13" t="n">
        <v>0</v>
      </c>
      <c r="K13">
        <f>E13-F13*G13</f>
        <v/>
      </c>
      <c r="L13">
        <f>F13*G13</f>
        <v/>
      </c>
    </row>
    <row r="14">
      <c r="A14" t="inlineStr">
        <is>
          <t>seg_09</t>
        </is>
      </c>
      <c r="B14">
        <f>INDEX(Data!A:A,10)</f>
        <v/>
      </c>
      <c r="C14">
        <f>INDEX(Data!B:B,10)</f>
        <v/>
      </c>
      <c r="D14">
        <f>INDEX(Data!C:C,10)</f>
        <v/>
      </c>
      <c r="E14">
        <f>INDEX(Data!D:D,10)</f>
        <v/>
      </c>
      <c r="F14">
        <f>INDEX(Data!E:E,10)</f>
        <v/>
      </c>
      <c r="G14">
        <f>INDEX(Data!F:F,10)</f>
        <v/>
      </c>
      <c r="H14">
        <f>INDEX(Data!G:G,10)</f>
        <v/>
      </c>
      <c r="I14">
        <f>INDEX(Data!H:H,10)*0+5000000.0</f>
        <v/>
      </c>
      <c r="J14" t="n">
        <v>5000000</v>
      </c>
      <c r="K14">
        <f>E14-F14*G14</f>
        <v/>
      </c>
      <c r="L14">
        <f>F14*G14</f>
        <v/>
      </c>
    </row>
    <row r="15">
      <c r="A15" t="inlineStr">
        <is>
          <t>seg_10</t>
        </is>
      </c>
      <c r="B15">
        <f>INDEX(Data!A:A,11)</f>
        <v/>
      </c>
      <c r="C15">
        <f>INDEX(Data!B:B,11)</f>
        <v/>
      </c>
      <c r="D15">
        <f>INDEX(Data!C:C,11)</f>
        <v/>
      </c>
      <c r="E15">
        <f>INDEX(Data!D:D,11)</f>
        <v/>
      </c>
      <c r="F15">
        <f>INDEX(Data!E:E,11)</f>
        <v/>
      </c>
      <c r="G15">
        <f>INDEX(Data!F:F,11)</f>
        <v/>
      </c>
      <c r="H15">
        <f>INDEX(Data!G:G,11)</f>
        <v/>
      </c>
      <c r="I15">
        <f>INDEX(Data!H:H,11)*0+5000000.0</f>
        <v/>
      </c>
      <c r="J15" t="n">
        <v>0</v>
      </c>
      <c r="K15">
        <f>E15-F15*G15</f>
        <v/>
      </c>
      <c r="L15">
        <f>F15*G15</f>
        <v/>
      </c>
    </row>
    <row r="16">
      <c r="A16" t="inlineStr">
        <is>
          <t>seg_11</t>
        </is>
      </c>
      <c r="B16">
        <f>INDEX(Data!A:A,12)</f>
        <v/>
      </c>
      <c r="C16">
        <f>INDEX(Data!B:B,12)</f>
        <v/>
      </c>
      <c r="D16">
        <f>INDEX(Data!C:C,12)</f>
        <v/>
      </c>
      <c r="E16">
        <f>INDEX(Data!D:D,12)</f>
        <v/>
      </c>
      <c r="F16">
        <f>INDEX(Data!E:E,12)</f>
        <v/>
      </c>
      <c r="G16">
        <f>INDEX(Data!F:F,12)</f>
        <v/>
      </c>
      <c r="H16">
        <f>INDEX(Data!G:G,12)</f>
        <v/>
      </c>
      <c r="I16">
        <f>INDEX(Data!H:H,12)*0+5000000.0</f>
        <v/>
      </c>
      <c r="J16" t="n">
        <v>5000000</v>
      </c>
      <c r="K16">
        <f>E16-F16*G16</f>
        <v/>
      </c>
      <c r="L16">
        <f>F16*G16</f>
        <v/>
      </c>
    </row>
    <row r="17">
      <c r="A17" t="inlineStr">
        <is>
          <t>seg_12</t>
        </is>
      </c>
      <c r="B17">
        <f>INDEX(Data!A:A,13)</f>
        <v/>
      </c>
      <c r="C17">
        <f>INDEX(Data!B:B,13)</f>
        <v/>
      </c>
      <c r="D17">
        <f>INDEX(Data!C:C,13)</f>
        <v/>
      </c>
      <c r="E17">
        <f>INDEX(Data!D:D,13)</f>
        <v/>
      </c>
      <c r="F17">
        <f>INDEX(Data!E:E,13)</f>
        <v/>
      </c>
      <c r="G17">
        <f>INDEX(Data!F:F,13)</f>
        <v/>
      </c>
      <c r="H17">
        <f>INDEX(Data!G:G,13)</f>
        <v/>
      </c>
      <c r="I17">
        <f>INDEX(Data!H:H,13)*0+5000000.0</f>
        <v/>
      </c>
      <c r="J17" t="n">
        <v>5000000</v>
      </c>
      <c r="K17">
        <f>E17-F17*G17</f>
        <v/>
      </c>
      <c r="L17">
        <f>F17*G17</f>
        <v/>
      </c>
    </row>
    <row r="18">
      <c r="A18" t="inlineStr">
        <is>
          <t>seg_13</t>
        </is>
      </c>
      <c r="B18">
        <f>INDEX(Data!A:A,14)</f>
        <v/>
      </c>
      <c r="C18">
        <f>INDEX(Data!B:B,14)</f>
        <v/>
      </c>
      <c r="D18">
        <f>INDEX(Data!C:C,14)</f>
        <v/>
      </c>
      <c r="E18">
        <f>INDEX(Data!D:D,14)</f>
        <v/>
      </c>
      <c r="F18">
        <f>INDEX(Data!E:E,14)</f>
        <v/>
      </c>
      <c r="G18">
        <f>INDEX(Data!F:F,14)</f>
        <v/>
      </c>
      <c r="H18">
        <f>INDEX(Data!G:G,14)</f>
        <v/>
      </c>
      <c r="I18">
        <f>INDEX(Data!H:H,14)*0+5000000.0</f>
        <v/>
      </c>
      <c r="J18" t="n">
        <v>0</v>
      </c>
      <c r="K18">
        <f>E18-F18*G18</f>
        <v/>
      </c>
      <c r="L18">
        <f>F18*G18</f>
        <v/>
      </c>
    </row>
    <row r="19">
      <c r="A19" t="inlineStr">
        <is>
          <t>seg_14</t>
        </is>
      </c>
      <c r="B19">
        <f>INDEX(Data!A:A,15)</f>
        <v/>
      </c>
      <c r="C19">
        <f>INDEX(Data!B:B,15)</f>
        <v/>
      </c>
      <c r="D19">
        <f>INDEX(Data!C:C,15)</f>
        <v/>
      </c>
      <c r="E19">
        <f>INDEX(Data!D:D,15)</f>
        <v/>
      </c>
      <c r="F19">
        <f>INDEX(Data!E:E,15)</f>
        <v/>
      </c>
      <c r="G19">
        <f>INDEX(Data!F:F,15)</f>
        <v/>
      </c>
      <c r="H19">
        <f>INDEX(Data!G:G,15)</f>
        <v/>
      </c>
      <c r="I19">
        <f>INDEX(Data!H:H,15)*0+5000000.0</f>
        <v/>
      </c>
      <c r="J19" t="n">
        <v>0</v>
      </c>
      <c r="K19">
        <f>E19-F19*G19</f>
        <v/>
      </c>
      <c r="L19">
        <f>F19*G19</f>
        <v/>
      </c>
    </row>
    <row r="20">
      <c r="A20" t="inlineStr">
        <is>
          <t>seg_15</t>
        </is>
      </c>
      <c r="B20">
        <f>INDEX(Data!A:A,16)</f>
        <v/>
      </c>
      <c r="C20">
        <f>INDEX(Data!B:B,16)</f>
        <v/>
      </c>
      <c r="D20">
        <f>INDEX(Data!C:C,16)</f>
        <v/>
      </c>
      <c r="E20">
        <f>INDEX(Data!D:D,16)</f>
        <v/>
      </c>
      <c r="F20">
        <f>INDEX(Data!E:E,16)</f>
        <v/>
      </c>
      <c r="G20">
        <f>INDEX(Data!F:F,16)</f>
        <v/>
      </c>
      <c r="H20">
        <f>INDEX(Data!G:G,16)</f>
        <v/>
      </c>
      <c r="I20">
        <f>INDEX(Data!H:H,16)*0+5000000.0</f>
        <v/>
      </c>
      <c r="J20" t="n">
        <v>0</v>
      </c>
      <c r="K20">
        <f>E20-F20*G20</f>
        <v/>
      </c>
      <c r="L20">
        <f>F20*G20</f>
        <v/>
      </c>
    </row>
    <row r="21">
      <c r="A21" t="inlineStr">
        <is>
          <t>seg_16</t>
        </is>
      </c>
      <c r="B21">
        <f>INDEX(Data!A:A,17)</f>
        <v/>
      </c>
      <c r="C21">
        <f>INDEX(Data!B:B,17)</f>
        <v/>
      </c>
      <c r="D21">
        <f>INDEX(Data!C:C,17)</f>
        <v/>
      </c>
      <c r="E21">
        <f>INDEX(Data!D:D,17)</f>
        <v/>
      </c>
      <c r="F21">
        <f>INDEX(Data!E:E,17)</f>
        <v/>
      </c>
      <c r="G21">
        <f>INDEX(Data!F:F,17)</f>
        <v/>
      </c>
      <c r="H21">
        <f>INDEX(Data!G:G,17)</f>
        <v/>
      </c>
      <c r="I21">
        <f>INDEX(Data!H:H,17)*0+5000000.0</f>
        <v/>
      </c>
      <c r="J21" t="n">
        <v>0</v>
      </c>
      <c r="K21">
        <f>E21-F21*G21</f>
        <v/>
      </c>
      <c r="L21">
        <f>F21*G21</f>
        <v/>
      </c>
    </row>
    <row r="22">
      <c r="A22" t="inlineStr">
        <is>
          <t>seg_17</t>
        </is>
      </c>
      <c r="B22">
        <f>INDEX(Data!A:A,18)</f>
        <v/>
      </c>
      <c r="C22">
        <f>INDEX(Data!B:B,18)</f>
        <v/>
      </c>
      <c r="D22">
        <f>INDEX(Data!C:C,18)</f>
        <v/>
      </c>
      <c r="E22">
        <f>INDEX(Data!D:D,18)</f>
        <v/>
      </c>
      <c r="F22">
        <f>INDEX(Data!E:E,18)</f>
        <v/>
      </c>
      <c r="G22">
        <f>INDEX(Data!F:F,18)</f>
        <v/>
      </c>
      <c r="H22">
        <f>INDEX(Data!G:G,18)</f>
        <v/>
      </c>
      <c r="I22">
        <f>INDEX(Data!H:H,18)*0+5000000.0</f>
        <v/>
      </c>
      <c r="J22" t="n">
        <v>0</v>
      </c>
      <c r="K22">
        <f>E22-F22*G22</f>
        <v/>
      </c>
      <c r="L22">
        <f>F22*G22</f>
        <v/>
      </c>
    </row>
    <row r="23">
      <c r="A23" t="inlineStr">
        <is>
          <t>seg_18</t>
        </is>
      </c>
      <c r="B23">
        <f>INDEX(Data!A:A,19)</f>
        <v/>
      </c>
      <c r="C23">
        <f>INDEX(Data!B:B,19)</f>
        <v/>
      </c>
      <c r="D23">
        <f>INDEX(Data!C:C,19)</f>
        <v/>
      </c>
      <c r="E23">
        <f>INDEX(Data!D:D,19)</f>
        <v/>
      </c>
      <c r="F23">
        <f>INDEX(Data!E:E,19)</f>
        <v/>
      </c>
      <c r="G23">
        <f>INDEX(Data!F:F,19)</f>
        <v/>
      </c>
      <c r="H23">
        <f>INDEX(Data!G:G,19)</f>
        <v/>
      </c>
      <c r="I23">
        <f>INDEX(Data!H:H,19)*0+5000000.0</f>
        <v/>
      </c>
      <c r="J23" t="n">
        <v>5000000</v>
      </c>
      <c r="K23">
        <f>E23-F23*G23</f>
        <v/>
      </c>
      <c r="L23">
        <f>F23*G23</f>
        <v/>
      </c>
    </row>
    <row r="24">
      <c r="A24" t="inlineStr">
        <is>
          <t>seg_19</t>
        </is>
      </c>
      <c r="B24">
        <f>INDEX(Data!A:A,20)</f>
        <v/>
      </c>
      <c r="C24">
        <f>INDEX(Data!B:B,20)</f>
        <v/>
      </c>
      <c r="D24">
        <f>INDEX(Data!C:C,20)</f>
        <v/>
      </c>
      <c r="E24">
        <f>INDEX(Data!D:D,20)</f>
        <v/>
      </c>
      <c r="F24">
        <f>INDEX(Data!E:E,20)</f>
        <v/>
      </c>
      <c r="G24">
        <f>INDEX(Data!F:F,20)</f>
        <v/>
      </c>
      <c r="H24">
        <f>INDEX(Data!G:G,20)</f>
        <v/>
      </c>
      <c r="I24">
        <f>INDEX(Data!H:H,20)*0+5000000.0</f>
        <v/>
      </c>
      <c r="J24" t="n">
        <v>0</v>
      </c>
      <c r="K24">
        <f>E24-F24*G24</f>
        <v/>
      </c>
      <c r="L24">
        <f>F24*G24</f>
        <v/>
      </c>
    </row>
    <row r="25">
      <c r="A25" t="inlineStr">
        <is>
          <t>seg_20</t>
        </is>
      </c>
      <c r="B25">
        <f>INDEX(Data!A:A,21)</f>
        <v/>
      </c>
      <c r="C25">
        <f>INDEX(Data!B:B,21)</f>
        <v/>
      </c>
      <c r="D25">
        <f>INDEX(Data!C:C,21)</f>
        <v/>
      </c>
      <c r="E25">
        <f>INDEX(Data!D:D,21)</f>
        <v/>
      </c>
      <c r="F25">
        <f>INDEX(Data!E:E,21)</f>
        <v/>
      </c>
      <c r="G25">
        <f>INDEX(Data!F:F,21)</f>
        <v/>
      </c>
      <c r="H25">
        <f>INDEX(Data!G:G,21)</f>
        <v/>
      </c>
      <c r="I25">
        <f>INDEX(Data!H:H,21)*0+5000000.0</f>
        <v/>
      </c>
      <c r="J25" t="n">
        <v>5000000</v>
      </c>
      <c r="K25">
        <f>E25-F25*G25</f>
        <v/>
      </c>
      <c r="L25">
        <f>F25*G25</f>
        <v/>
      </c>
    </row>
    <row r="26">
      <c r="A26" t="inlineStr">
        <is>
          <t>seg_21</t>
        </is>
      </c>
      <c r="B26">
        <f>INDEX(Data!A:A,22)</f>
        <v/>
      </c>
      <c r="C26">
        <f>INDEX(Data!B:B,22)</f>
        <v/>
      </c>
      <c r="D26">
        <f>INDEX(Data!C:C,22)</f>
        <v/>
      </c>
      <c r="E26">
        <f>INDEX(Data!D:D,22)</f>
        <v/>
      </c>
      <c r="F26">
        <f>INDEX(Data!E:E,22)</f>
        <v/>
      </c>
      <c r="G26">
        <f>INDEX(Data!F:F,22)</f>
        <v/>
      </c>
      <c r="H26">
        <f>INDEX(Data!G:G,22)</f>
        <v/>
      </c>
      <c r="I26">
        <f>INDEX(Data!H:H,22)*0+5000000.0</f>
        <v/>
      </c>
      <c r="J26" t="n">
        <v>5000000</v>
      </c>
      <c r="K26">
        <f>E26-F26*G26</f>
        <v/>
      </c>
      <c r="L26">
        <f>F26*G26</f>
        <v/>
      </c>
    </row>
    <row r="27">
      <c r="A27" t="inlineStr">
        <is>
          <t>seg_22</t>
        </is>
      </c>
      <c r="B27">
        <f>INDEX(Data!A:A,23)</f>
        <v/>
      </c>
      <c r="C27">
        <f>INDEX(Data!B:B,23)</f>
        <v/>
      </c>
      <c r="D27">
        <f>INDEX(Data!C:C,23)</f>
        <v/>
      </c>
      <c r="E27">
        <f>INDEX(Data!D:D,23)</f>
        <v/>
      </c>
      <c r="F27">
        <f>INDEX(Data!E:E,23)</f>
        <v/>
      </c>
      <c r="G27">
        <f>INDEX(Data!F:F,23)</f>
        <v/>
      </c>
      <c r="H27">
        <f>INDEX(Data!G:G,23)</f>
        <v/>
      </c>
      <c r="I27">
        <f>INDEX(Data!H:H,23)*0+5000000.0</f>
        <v/>
      </c>
      <c r="J27" t="n">
        <v>0</v>
      </c>
      <c r="K27">
        <f>E27-F27*G27</f>
        <v/>
      </c>
      <c r="L27">
        <f>F27*G27</f>
        <v/>
      </c>
    </row>
    <row r="28">
      <c r="A28" t="inlineStr">
        <is>
          <t>seg_23</t>
        </is>
      </c>
      <c r="B28">
        <f>INDEX(Data!A:A,24)</f>
        <v/>
      </c>
      <c r="C28">
        <f>INDEX(Data!B:B,24)</f>
        <v/>
      </c>
      <c r="D28">
        <f>INDEX(Data!C:C,24)</f>
        <v/>
      </c>
      <c r="E28">
        <f>INDEX(Data!D:D,24)</f>
        <v/>
      </c>
      <c r="F28">
        <f>INDEX(Data!E:E,24)</f>
        <v/>
      </c>
      <c r="G28">
        <f>INDEX(Data!F:F,24)</f>
        <v/>
      </c>
      <c r="H28">
        <f>INDEX(Data!G:G,24)</f>
        <v/>
      </c>
      <c r="I28">
        <f>INDEX(Data!H:H,24)*0+5000000.0</f>
        <v/>
      </c>
      <c r="J28" t="n">
        <v>5000000</v>
      </c>
      <c r="K28">
        <f>E28-F28*G28</f>
        <v/>
      </c>
      <c r="L28">
        <f>F28*G28</f>
        <v/>
      </c>
    </row>
    <row r="29">
      <c r="A29" t="inlineStr">
        <is>
          <t>seg_24</t>
        </is>
      </c>
      <c r="B29">
        <f>INDEX(Data!A:A,25)</f>
        <v/>
      </c>
      <c r="C29">
        <f>INDEX(Data!B:B,25)</f>
        <v/>
      </c>
      <c r="D29">
        <f>INDEX(Data!C:C,25)</f>
        <v/>
      </c>
      <c r="E29">
        <f>INDEX(Data!D:D,25)</f>
        <v/>
      </c>
      <c r="F29">
        <f>INDEX(Data!E:E,25)</f>
        <v/>
      </c>
      <c r="G29">
        <f>INDEX(Data!F:F,25)</f>
        <v/>
      </c>
      <c r="H29">
        <f>INDEX(Data!G:G,25)</f>
        <v/>
      </c>
      <c r="I29">
        <f>INDEX(Data!H:H,25)*0+5000000.0</f>
        <v/>
      </c>
      <c r="J29" t="n">
        <v>5000000</v>
      </c>
      <c r="K29">
        <f>E29-F29*G29</f>
        <v/>
      </c>
      <c r="L29">
        <f>F29*G29</f>
        <v/>
      </c>
    </row>
    <row r="30">
      <c r="A30" t="inlineStr">
        <is>
          <t>seg_25</t>
        </is>
      </c>
      <c r="B30">
        <f>INDEX(Data!A:A,26)</f>
        <v/>
      </c>
      <c r="C30">
        <f>INDEX(Data!B:B,26)</f>
        <v/>
      </c>
      <c r="D30">
        <f>INDEX(Data!C:C,26)</f>
        <v/>
      </c>
      <c r="E30">
        <f>INDEX(Data!D:D,26)</f>
        <v/>
      </c>
      <c r="F30">
        <f>INDEX(Data!E:E,26)</f>
        <v/>
      </c>
      <c r="G30">
        <f>INDEX(Data!F:F,26)</f>
        <v/>
      </c>
      <c r="H30">
        <f>INDEX(Data!G:G,26)</f>
        <v/>
      </c>
      <c r="I30">
        <f>INDEX(Data!H:H,26)*0+5000000.0</f>
        <v/>
      </c>
      <c r="J30" t="n">
        <v>0</v>
      </c>
      <c r="K30">
        <f>E30-F30*G30</f>
        <v/>
      </c>
      <c r="L30">
        <f>F30*G30</f>
        <v/>
      </c>
    </row>
    <row r="31">
      <c r="A31" t="inlineStr">
        <is>
          <t>seg_26</t>
        </is>
      </c>
      <c r="B31">
        <f>INDEX(Data!A:A,27)</f>
        <v/>
      </c>
      <c r="C31">
        <f>INDEX(Data!B:B,27)</f>
        <v/>
      </c>
      <c r="D31">
        <f>INDEX(Data!C:C,27)</f>
        <v/>
      </c>
      <c r="E31">
        <f>INDEX(Data!D:D,27)</f>
        <v/>
      </c>
      <c r="F31">
        <f>INDEX(Data!E:E,27)</f>
        <v/>
      </c>
      <c r="G31">
        <f>INDEX(Data!F:F,27)</f>
        <v/>
      </c>
      <c r="H31">
        <f>INDEX(Data!G:G,27)</f>
        <v/>
      </c>
      <c r="I31">
        <f>INDEX(Data!H:H,27)*0+5000000.0</f>
        <v/>
      </c>
      <c r="J31" t="n">
        <v>0</v>
      </c>
      <c r="K31">
        <f>E31-F31*G31</f>
        <v/>
      </c>
      <c r="L31">
        <f>F31*G31</f>
        <v/>
      </c>
    </row>
    <row r="32">
      <c r="A32" t="inlineStr">
        <is>
          <t>seg_27</t>
        </is>
      </c>
      <c r="B32">
        <f>INDEX(Data!A:A,28)</f>
        <v/>
      </c>
      <c r="C32">
        <f>INDEX(Data!B:B,28)</f>
        <v/>
      </c>
      <c r="D32">
        <f>INDEX(Data!C:C,28)</f>
        <v/>
      </c>
      <c r="E32">
        <f>INDEX(Data!D:D,28)</f>
        <v/>
      </c>
      <c r="F32">
        <f>INDEX(Data!E:E,28)</f>
        <v/>
      </c>
      <c r="G32">
        <f>INDEX(Data!F:F,28)</f>
        <v/>
      </c>
      <c r="H32">
        <f>INDEX(Data!G:G,28)</f>
        <v/>
      </c>
      <c r="I32">
        <f>INDEX(Data!H:H,28)*0+5000000.0</f>
        <v/>
      </c>
      <c r="J32" t="n">
        <v>0</v>
      </c>
      <c r="K32">
        <f>E32-F32*G32</f>
        <v/>
      </c>
      <c r="L32">
        <f>F32*G32</f>
        <v/>
      </c>
    </row>
    <row r="33">
      <c r="A33" t="inlineStr">
        <is>
          <t>seg_28</t>
        </is>
      </c>
      <c r="B33">
        <f>INDEX(Data!A:A,29)</f>
        <v/>
      </c>
      <c r="C33">
        <f>INDEX(Data!B:B,29)</f>
        <v/>
      </c>
      <c r="D33">
        <f>INDEX(Data!C:C,29)</f>
        <v/>
      </c>
      <c r="E33">
        <f>INDEX(Data!D:D,29)</f>
        <v/>
      </c>
      <c r="F33">
        <f>INDEX(Data!E:E,29)</f>
        <v/>
      </c>
      <c r="G33">
        <f>INDEX(Data!F:F,29)</f>
        <v/>
      </c>
      <c r="H33">
        <f>INDEX(Data!G:G,29)</f>
        <v/>
      </c>
      <c r="I33">
        <f>INDEX(Data!H:H,29)*0+5000000.0</f>
        <v/>
      </c>
      <c r="J33" t="n">
        <v>0</v>
      </c>
      <c r="K33">
        <f>E33-F33*G33</f>
        <v/>
      </c>
      <c r="L33">
        <f>F33*G33</f>
        <v/>
      </c>
    </row>
    <row r="34">
      <c r="A34" t="inlineStr">
        <is>
          <t>seg_29</t>
        </is>
      </c>
      <c r="B34">
        <f>INDEX(Data!A:A,30)</f>
        <v/>
      </c>
      <c r="C34">
        <f>INDEX(Data!B:B,30)</f>
        <v/>
      </c>
      <c r="D34">
        <f>INDEX(Data!C:C,30)</f>
        <v/>
      </c>
      <c r="E34">
        <f>INDEX(Data!D:D,30)</f>
        <v/>
      </c>
      <c r="F34">
        <f>INDEX(Data!E:E,30)</f>
        <v/>
      </c>
      <c r="G34">
        <f>INDEX(Data!F:F,30)</f>
        <v/>
      </c>
      <c r="H34">
        <f>INDEX(Data!G:G,30)</f>
        <v/>
      </c>
      <c r="I34">
        <f>INDEX(Data!H:H,30)*0+5000000.0</f>
        <v/>
      </c>
      <c r="J34" t="n">
        <v>0</v>
      </c>
      <c r="K34">
        <f>E34-F34*G34</f>
        <v/>
      </c>
      <c r="L34">
        <f>F34*G34</f>
        <v/>
      </c>
    </row>
    <row r="35">
      <c r="A35" t="inlineStr">
        <is>
          <t>seg_30</t>
        </is>
      </c>
      <c r="B35">
        <f>INDEX(Data!A:A,31)</f>
        <v/>
      </c>
      <c r="C35">
        <f>INDEX(Data!B:B,31)</f>
        <v/>
      </c>
      <c r="D35">
        <f>INDEX(Data!C:C,31)</f>
        <v/>
      </c>
      <c r="E35">
        <f>INDEX(Data!D:D,31)</f>
        <v/>
      </c>
      <c r="F35">
        <f>INDEX(Data!E:E,31)</f>
        <v/>
      </c>
      <c r="G35">
        <f>INDEX(Data!F:F,31)</f>
        <v/>
      </c>
      <c r="H35">
        <f>INDEX(Data!G:G,31)</f>
        <v/>
      </c>
      <c r="I35">
        <f>INDEX(Data!H:H,31)*0+5000000.0</f>
        <v/>
      </c>
      <c r="J35" t="n">
        <v>5000000</v>
      </c>
      <c r="K35">
        <f>E35-F35*G35</f>
        <v/>
      </c>
      <c r="L35">
        <f>F35*G35</f>
        <v/>
      </c>
    </row>
    <row r="36">
      <c r="A36" t="inlineStr">
        <is>
          <t>seg_31</t>
        </is>
      </c>
      <c r="B36">
        <f>INDEX(Data!A:A,32)</f>
        <v/>
      </c>
      <c r="C36">
        <f>INDEX(Data!B:B,32)</f>
        <v/>
      </c>
      <c r="D36">
        <f>INDEX(Data!C:C,32)</f>
        <v/>
      </c>
      <c r="E36">
        <f>INDEX(Data!D:D,32)</f>
        <v/>
      </c>
      <c r="F36">
        <f>INDEX(Data!E:E,32)</f>
        <v/>
      </c>
      <c r="G36">
        <f>INDEX(Data!F:F,32)</f>
        <v/>
      </c>
      <c r="H36">
        <f>INDEX(Data!G:G,32)</f>
        <v/>
      </c>
      <c r="I36">
        <f>INDEX(Data!H:H,32)*0+5000000.0</f>
        <v/>
      </c>
      <c r="J36" t="n">
        <v>0</v>
      </c>
      <c r="K36">
        <f>E36-F36*G36</f>
        <v/>
      </c>
      <c r="L36">
        <f>F36*G36</f>
        <v/>
      </c>
    </row>
    <row r="37">
      <c r="A37" t="inlineStr">
        <is>
          <t>seg_32</t>
        </is>
      </c>
      <c r="B37">
        <f>INDEX(Data!A:A,33)</f>
        <v/>
      </c>
      <c r="C37">
        <f>INDEX(Data!B:B,33)</f>
        <v/>
      </c>
      <c r="D37">
        <f>INDEX(Data!C:C,33)</f>
        <v/>
      </c>
      <c r="E37">
        <f>INDEX(Data!D:D,33)</f>
        <v/>
      </c>
      <c r="F37">
        <f>INDEX(Data!E:E,33)</f>
        <v/>
      </c>
      <c r="G37">
        <f>INDEX(Data!F:F,33)</f>
        <v/>
      </c>
      <c r="H37">
        <f>INDEX(Data!G:G,33)</f>
        <v/>
      </c>
      <c r="I37">
        <f>INDEX(Data!H:H,33)*0+5000000.0</f>
        <v/>
      </c>
      <c r="J37" t="n">
        <v>0</v>
      </c>
      <c r="K37">
        <f>E37-F37*G37</f>
        <v/>
      </c>
      <c r="L37">
        <f>F37*G37</f>
        <v/>
      </c>
    </row>
    <row r="38">
      <c r="A38" t="inlineStr">
        <is>
          <t>seg_33</t>
        </is>
      </c>
      <c r="B38">
        <f>INDEX(Data!A:A,34)</f>
        <v/>
      </c>
      <c r="C38">
        <f>INDEX(Data!B:B,34)</f>
        <v/>
      </c>
      <c r="D38">
        <f>INDEX(Data!C:C,34)</f>
        <v/>
      </c>
      <c r="E38">
        <f>INDEX(Data!D:D,34)</f>
        <v/>
      </c>
      <c r="F38">
        <f>INDEX(Data!E:E,34)</f>
        <v/>
      </c>
      <c r="G38">
        <f>INDEX(Data!F:F,34)</f>
        <v/>
      </c>
      <c r="H38">
        <f>INDEX(Data!G:G,34)</f>
        <v/>
      </c>
      <c r="I38">
        <f>INDEX(Data!H:H,34)*0+5000000.0</f>
        <v/>
      </c>
      <c r="J38" t="n">
        <v>0</v>
      </c>
      <c r="K38">
        <f>E38-F38*G38</f>
        <v/>
      </c>
      <c r="L38">
        <f>F38*G38</f>
        <v/>
      </c>
    </row>
    <row r="39">
      <c r="A39" t="inlineStr">
        <is>
          <t>seg_34</t>
        </is>
      </c>
      <c r="B39">
        <f>INDEX(Data!A:A,35)</f>
        <v/>
      </c>
      <c r="C39">
        <f>INDEX(Data!B:B,35)</f>
        <v/>
      </c>
      <c r="D39">
        <f>INDEX(Data!C:C,35)</f>
        <v/>
      </c>
      <c r="E39">
        <f>INDEX(Data!D:D,35)</f>
        <v/>
      </c>
      <c r="F39">
        <f>INDEX(Data!E:E,35)</f>
        <v/>
      </c>
      <c r="G39">
        <f>INDEX(Data!F:F,35)</f>
        <v/>
      </c>
      <c r="H39">
        <f>INDEX(Data!G:G,35)</f>
        <v/>
      </c>
      <c r="I39">
        <f>INDEX(Data!H:H,35)*0+5000000.0</f>
        <v/>
      </c>
      <c r="J39" t="n">
        <v>0</v>
      </c>
      <c r="K39">
        <f>E39-F39*G39</f>
        <v/>
      </c>
      <c r="L39">
        <f>F39*G39</f>
        <v/>
      </c>
    </row>
    <row r="40">
      <c r="A40" t="inlineStr">
        <is>
          <t>seg_35</t>
        </is>
      </c>
      <c r="B40">
        <f>INDEX(Data!A:A,36)</f>
        <v/>
      </c>
      <c r="C40">
        <f>INDEX(Data!B:B,36)</f>
        <v/>
      </c>
      <c r="D40">
        <f>INDEX(Data!C:C,36)</f>
        <v/>
      </c>
      <c r="E40">
        <f>INDEX(Data!D:D,36)</f>
        <v/>
      </c>
      <c r="F40">
        <f>INDEX(Data!E:E,36)</f>
        <v/>
      </c>
      <c r="G40">
        <f>INDEX(Data!F:F,36)</f>
        <v/>
      </c>
      <c r="H40">
        <f>INDEX(Data!G:G,36)</f>
        <v/>
      </c>
      <c r="I40">
        <f>INDEX(Data!H:H,36)*0+5000000.0</f>
        <v/>
      </c>
      <c r="J40" t="n">
        <v>0</v>
      </c>
      <c r="K40">
        <f>E40-F40*G40</f>
        <v/>
      </c>
      <c r="L40">
        <f>F40*G40</f>
        <v/>
      </c>
    </row>
    <row r="41">
      <c r="A41" t="inlineStr">
        <is>
          <t>seg_36</t>
        </is>
      </c>
      <c r="B41">
        <f>INDEX(Data!A:A,37)</f>
        <v/>
      </c>
      <c r="C41">
        <f>INDEX(Data!B:B,37)</f>
        <v/>
      </c>
      <c r="D41">
        <f>INDEX(Data!C:C,37)</f>
        <v/>
      </c>
      <c r="E41">
        <f>INDEX(Data!D:D,37)</f>
        <v/>
      </c>
      <c r="F41">
        <f>INDEX(Data!E:E,37)</f>
        <v/>
      </c>
      <c r="G41">
        <f>INDEX(Data!F:F,37)</f>
        <v/>
      </c>
      <c r="H41">
        <f>INDEX(Data!G:G,37)</f>
        <v/>
      </c>
      <c r="I41">
        <f>INDEX(Data!H:H,37)*0+5000000.0</f>
        <v/>
      </c>
      <c r="J41" t="n">
        <v>5000000</v>
      </c>
      <c r="K41">
        <f>E41-F41*G41</f>
        <v/>
      </c>
      <c r="L41">
        <f>F41*G41</f>
        <v/>
      </c>
    </row>
    <row r="42">
      <c r="A42" t="inlineStr">
        <is>
          <t>seg_37</t>
        </is>
      </c>
      <c r="B42">
        <f>INDEX(Data!A:A,38)</f>
        <v/>
      </c>
      <c r="C42">
        <f>INDEX(Data!B:B,38)</f>
        <v/>
      </c>
      <c r="D42">
        <f>INDEX(Data!C:C,38)</f>
        <v/>
      </c>
      <c r="E42">
        <f>INDEX(Data!D:D,38)</f>
        <v/>
      </c>
      <c r="F42">
        <f>INDEX(Data!E:E,38)</f>
        <v/>
      </c>
      <c r="G42">
        <f>INDEX(Data!F:F,38)</f>
        <v/>
      </c>
      <c r="H42">
        <f>INDEX(Data!G:G,38)</f>
        <v/>
      </c>
      <c r="I42">
        <f>INDEX(Data!H:H,38)*0+5000000.0</f>
        <v/>
      </c>
      <c r="J42" t="n">
        <v>0</v>
      </c>
      <c r="K42">
        <f>E42-F42*G42</f>
        <v/>
      </c>
      <c r="L42">
        <f>F42*G42</f>
        <v/>
      </c>
    </row>
    <row r="43">
      <c r="A43" t="inlineStr">
        <is>
          <t>seg_38</t>
        </is>
      </c>
      <c r="B43">
        <f>INDEX(Data!A:A,39)</f>
        <v/>
      </c>
      <c r="C43">
        <f>INDEX(Data!B:B,39)</f>
        <v/>
      </c>
      <c r="D43">
        <f>INDEX(Data!C:C,39)</f>
        <v/>
      </c>
      <c r="E43">
        <f>INDEX(Data!D:D,39)</f>
        <v/>
      </c>
      <c r="F43">
        <f>INDEX(Data!E:E,39)</f>
        <v/>
      </c>
      <c r="G43">
        <f>INDEX(Data!F:F,39)</f>
        <v/>
      </c>
      <c r="H43">
        <f>INDEX(Data!G:G,39)</f>
        <v/>
      </c>
      <c r="I43">
        <f>INDEX(Data!H:H,39)*0+5000000.0</f>
        <v/>
      </c>
      <c r="J43" t="n">
        <v>0</v>
      </c>
      <c r="K43">
        <f>E43-F43*G43</f>
        <v/>
      </c>
      <c r="L43">
        <f>F43*G43</f>
        <v/>
      </c>
    </row>
    <row r="44">
      <c r="A44" t="inlineStr">
        <is>
          <t>seg_39</t>
        </is>
      </c>
      <c r="B44">
        <f>INDEX(Data!A:A,40)</f>
        <v/>
      </c>
      <c r="C44">
        <f>INDEX(Data!B:B,40)</f>
        <v/>
      </c>
      <c r="D44">
        <f>INDEX(Data!C:C,40)</f>
        <v/>
      </c>
      <c r="E44">
        <f>INDEX(Data!D:D,40)</f>
        <v/>
      </c>
      <c r="F44">
        <f>INDEX(Data!E:E,40)</f>
        <v/>
      </c>
      <c r="G44">
        <f>INDEX(Data!F:F,40)</f>
        <v/>
      </c>
      <c r="H44">
        <f>INDEX(Data!G:G,40)</f>
        <v/>
      </c>
      <c r="I44">
        <f>INDEX(Data!H:H,40)*0+5000000.0</f>
        <v/>
      </c>
      <c r="J44" t="n">
        <v>5000000</v>
      </c>
      <c r="K44">
        <f>E44-F44*G44</f>
        <v/>
      </c>
      <c r="L44">
        <f>F44*G44</f>
        <v/>
      </c>
    </row>
    <row r="45">
      <c r="A45" t="inlineStr">
        <is>
          <t>seg_40</t>
        </is>
      </c>
      <c r="B45">
        <f>INDEX(Data!A:A,41)</f>
        <v/>
      </c>
      <c r="C45">
        <f>INDEX(Data!B:B,41)</f>
        <v/>
      </c>
      <c r="D45">
        <f>INDEX(Data!C:C,41)</f>
        <v/>
      </c>
      <c r="E45">
        <f>INDEX(Data!D:D,41)</f>
        <v/>
      </c>
      <c r="F45">
        <f>INDEX(Data!E:E,41)</f>
        <v/>
      </c>
      <c r="G45">
        <f>INDEX(Data!F:F,41)</f>
        <v/>
      </c>
      <c r="H45">
        <f>INDEX(Data!G:G,41)</f>
        <v/>
      </c>
      <c r="I45">
        <f>INDEX(Data!H:H,41)*0+5000000.0</f>
        <v/>
      </c>
      <c r="J45" t="n">
        <v>0</v>
      </c>
      <c r="K45">
        <f>E45-F45*G45</f>
        <v/>
      </c>
      <c r="L45">
        <f>F45*G45</f>
        <v/>
      </c>
    </row>
    <row r="46">
      <c r="A46" t="inlineStr">
        <is>
          <t>seg_41</t>
        </is>
      </c>
      <c r="B46">
        <f>INDEX(Data!A:A,42)</f>
        <v/>
      </c>
      <c r="C46">
        <f>INDEX(Data!B:B,42)</f>
        <v/>
      </c>
      <c r="D46">
        <f>INDEX(Data!C:C,42)</f>
        <v/>
      </c>
      <c r="E46">
        <f>INDEX(Data!D:D,42)</f>
        <v/>
      </c>
      <c r="F46">
        <f>INDEX(Data!E:E,42)</f>
        <v/>
      </c>
      <c r="G46">
        <f>INDEX(Data!F:F,42)</f>
        <v/>
      </c>
      <c r="H46">
        <f>INDEX(Data!G:G,42)</f>
        <v/>
      </c>
      <c r="I46">
        <f>INDEX(Data!H:H,42)*0+5000000.0</f>
        <v/>
      </c>
      <c r="J46" t="n">
        <v>0</v>
      </c>
      <c r="K46">
        <f>E46-F46*G46</f>
        <v/>
      </c>
      <c r="L46">
        <f>F46*G46</f>
        <v/>
      </c>
    </row>
    <row r="47">
      <c r="A47" t="inlineStr">
        <is>
          <t>seg_42</t>
        </is>
      </c>
      <c r="B47">
        <f>INDEX(Data!A:A,43)</f>
        <v/>
      </c>
      <c r="C47">
        <f>INDEX(Data!B:B,43)</f>
        <v/>
      </c>
      <c r="D47">
        <f>INDEX(Data!C:C,43)</f>
        <v/>
      </c>
      <c r="E47">
        <f>INDEX(Data!D:D,43)</f>
        <v/>
      </c>
      <c r="F47">
        <f>INDEX(Data!E:E,43)</f>
        <v/>
      </c>
      <c r="G47">
        <f>INDEX(Data!F:F,43)</f>
        <v/>
      </c>
      <c r="H47">
        <f>INDEX(Data!G:G,43)</f>
        <v/>
      </c>
      <c r="I47">
        <f>INDEX(Data!H:H,43)*0+5000000.0</f>
        <v/>
      </c>
      <c r="J47" t="n">
        <v>5000000</v>
      </c>
      <c r="K47">
        <f>E47-F47*G47</f>
        <v/>
      </c>
      <c r="L47">
        <f>F47*G47</f>
        <v/>
      </c>
    </row>
    <row r="48">
      <c r="A48" t="inlineStr">
        <is>
          <t>seg_43</t>
        </is>
      </c>
      <c r="B48">
        <f>INDEX(Data!A:A,44)</f>
        <v/>
      </c>
      <c r="C48">
        <f>INDEX(Data!B:B,44)</f>
        <v/>
      </c>
      <c r="D48">
        <f>INDEX(Data!C:C,44)</f>
        <v/>
      </c>
      <c r="E48">
        <f>INDEX(Data!D:D,44)</f>
        <v/>
      </c>
      <c r="F48">
        <f>INDEX(Data!E:E,44)</f>
        <v/>
      </c>
      <c r="G48">
        <f>INDEX(Data!F:F,44)</f>
        <v/>
      </c>
      <c r="H48">
        <f>INDEX(Data!G:G,44)</f>
        <v/>
      </c>
      <c r="I48">
        <f>INDEX(Data!H:H,44)*0+5000000.0</f>
        <v/>
      </c>
      <c r="J48" t="n">
        <v>0</v>
      </c>
      <c r="K48">
        <f>E48-F48*G48</f>
        <v/>
      </c>
      <c r="L48">
        <f>F48*G48</f>
        <v/>
      </c>
    </row>
    <row r="49">
      <c r="A49" t="inlineStr">
        <is>
          <t>seg_44</t>
        </is>
      </c>
      <c r="B49">
        <f>INDEX(Data!A:A,45)</f>
        <v/>
      </c>
      <c r="C49">
        <f>INDEX(Data!B:B,45)</f>
        <v/>
      </c>
      <c r="D49">
        <f>INDEX(Data!C:C,45)</f>
        <v/>
      </c>
      <c r="E49">
        <f>INDEX(Data!D:D,45)</f>
        <v/>
      </c>
      <c r="F49">
        <f>INDEX(Data!E:E,45)</f>
        <v/>
      </c>
      <c r="G49">
        <f>INDEX(Data!F:F,45)</f>
        <v/>
      </c>
      <c r="H49">
        <f>INDEX(Data!G:G,45)</f>
        <v/>
      </c>
      <c r="I49">
        <f>INDEX(Data!H:H,45)*0+5000000.0</f>
        <v/>
      </c>
      <c r="J49" t="n">
        <v>0</v>
      </c>
      <c r="K49">
        <f>E49-F49*G49</f>
        <v/>
      </c>
      <c r="L49">
        <f>F49*G49</f>
        <v/>
      </c>
    </row>
    <row r="50">
      <c r="A50" t="inlineStr">
        <is>
          <t>seg_45</t>
        </is>
      </c>
      <c r="B50">
        <f>INDEX(Data!A:A,46)</f>
        <v/>
      </c>
      <c r="C50">
        <f>INDEX(Data!B:B,46)</f>
        <v/>
      </c>
      <c r="D50">
        <f>INDEX(Data!C:C,46)</f>
        <v/>
      </c>
      <c r="E50">
        <f>INDEX(Data!D:D,46)</f>
        <v/>
      </c>
      <c r="F50">
        <f>INDEX(Data!E:E,46)</f>
        <v/>
      </c>
      <c r="G50">
        <f>INDEX(Data!F:F,46)</f>
        <v/>
      </c>
      <c r="H50">
        <f>INDEX(Data!G:G,46)</f>
        <v/>
      </c>
      <c r="I50">
        <f>INDEX(Data!H:H,46)*0+5000000.0</f>
        <v/>
      </c>
      <c r="J50" t="n">
        <v>5000000</v>
      </c>
      <c r="K50">
        <f>E50-F50*G50</f>
        <v/>
      </c>
      <c r="L50">
        <f>F50*G50</f>
        <v/>
      </c>
    </row>
    <row r="51">
      <c r="A51" t="inlineStr">
        <is>
          <t>seg_46</t>
        </is>
      </c>
      <c r="B51">
        <f>INDEX(Data!A:A,47)</f>
        <v/>
      </c>
      <c r="C51">
        <f>INDEX(Data!B:B,47)</f>
        <v/>
      </c>
      <c r="D51">
        <f>INDEX(Data!C:C,47)</f>
        <v/>
      </c>
      <c r="E51">
        <f>INDEX(Data!D:D,47)</f>
        <v/>
      </c>
      <c r="F51">
        <f>INDEX(Data!E:E,47)</f>
        <v/>
      </c>
      <c r="G51">
        <f>INDEX(Data!F:F,47)</f>
        <v/>
      </c>
      <c r="H51">
        <f>INDEX(Data!G:G,47)</f>
        <v/>
      </c>
      <c r="I51">
        <f>INDEX(Data!H:H,47)*0+5000000.0</f>
        <v/>
      </c>
      <c r="J51" t="n">
        <v>0</v>
      </c>
      <c r="K51">
        <f>E51-F51*G51</f>
        <v/>
      </c>
      <c r="L51">
        <f>F51*G51</f>
        <v/>
      </c>
    </row>
    <row r="52">
      <c r="A52" t="inlineStr">
        <is>
          <t>seg_47</t>
        </is>
      </c>
      <c r="B52">
        <f>INDEX(Data!A:A,48)</f>
        <v/>
      </c>
      <c r="C52">
        <f>INDEX(Data!B:B,48)</f>
        <v/>
      </c>
      <c r="D52">
        <f>INDEX(Data!C:C,48)</f>
        <v/>
      </c>
      <c r="E52">
        <f>INDEX(Data!D:D,48)</f>
        <v/>
      </c>
      <c r="F52">
        <f>INDEX(Data!E:E,48)</f>
        <v/>
      </c>
      <c r="G52">
        <f>INDEX(Data!F:F,48)</f>
        <v/>
      </c>
      <c r="H52">
        <f>INDEX(Data!G:G,48)</f>
        <v/>
      </c>
      <c r="I52">
        <f>INDEX(Data!H:H,48)*0+5000000.0</f>
        <v/>
      </c>
      <c r="J52" t="n">
        <v>0</v>
      </c>
      <c r="K52">
        <f>E52-F52*G52</f>
        <v/>
      </c>
      <c r="L52">
        <f>F52*G52</f>
        <v/>
      </c>
    </row>
    <row r="53">
      <c r="A53" t="inlineStr">
        <is>
          <t>seg_48</t>
        </is>
      </c>
      <c r="B53">
        <f>INDEX(Data!A:A,49)</f>
        <v/>
      </c>
      <c r="C53">
        <f>INDEX(Data!B:B,49)</f>
        <v/>
      </c>
      <c r="D53">
        <f>INDEX(Data!C:C,49)</f>
        <v/>
      </c>
      <c r="E53">
        <f>INDEX(Data!D:D,49)</f>
        <v/>
      </c>
      <c r="F53">
        <f>INDEX(Data!E:E,49)</f>
        <v/>
      </c>
      <c r="G53">
        <f>INDEX(Data!F:F,49)</f>
        <v/>
      </c>
      <c r="H53">
        <f>INDEX(Data!G:G,49)</f>
        <v/>
      </c>
      <c r="I53">
        <f>INDEX(Data!H:H,49)*0+5000000.0</f>
        <v/>
      </c>
      <c r="J53" t="n">
        <v>5000000</v>
      </c>
      <c r="K53">
        <f>E53-F53*G53</f>
        <v/>
      </c>
      <c r="L53">
        <f>F53*G53</f>
        <v/>
      </c>
    </row>
    <row r="54">
      <c r="A54" t="inlineStr">
        <is>
          <t>seg_49</t>
        </is>
      </c>
      <c r="B54">
        <f>INDEX(Data!A:A,50)</f>
        <v/>
      </c>
      <c r="C54">
        <f>INDEX(Data!B:B,50)</f>
        <v/>
      </c>
      <c r="D54">
        <f>INDEX(Data!C:C,50)</f>
        <v/>
      </c>
      <c r="E54">
        <f>INDEX(Data!D:D,50)</f>
        <v/>
      </c>
      <c r="F54">
        <f>INDEX(Data!E:E,50)</f>
        <v/>
      </c>
      <c r="G54">
        <f>INDEX(Data!F:F,50)</f>
        <v/>
      </c>
      <c r="H54">
        <f>INDEX(Data!G:G,50)</f>
        <v/>
      </c>
      <c r="I54">
        <f>INDEX(Data!H:H,50)*0+5000000.0</f>
        <v/>
      </c>
      <c r="J54" t="n">
        <v>0</v>
      </c>
      <c r="K54">
        <f>E54-F54*G54</f>
        <v/>
      </c>
      <c r="L54">
        <f>F54*G54</f>
        <v/>
      </c>
    </row>
    <row r="55">
      <c r="A55" t="inlineStr">
        <is>
          <t>seg_50</t>
        </is>
      </c>
      <c r="B55">
        <f>INDEX(Data!A:A,51)</f>
        <v/>
      </c>
      <c r="C55">
        <f>INDEX(Data!B:B,51)</f>
        <v/>
      </c>
      <c r="D55">
        <f>INDEX(Data!C:C,51)</f>
        <v/>
      </c>
      <c r="E55">
        <f>INDEX(Data!D:D,51)</f>
        <v/>
      </c>
      <c r="F55">
        <f>INDEX(Data!E:E,51)</f>
        <v/>
      </c>
      <c r="G55">
        <f>INDEX(Data!F:F,51)</f>
        <v/>
      </c>
      <c r="H55">
        <f>INDEX(Data!G:G,51)</f>
        <v/>
      </c>
      <c r="I55">
        <f>INDEX(Data!H:H,51)*0+5000000.0</f>
        <v/>
      </c>
      <c r="J55" t="n">
        <v>0</v>
      </c>
      <c r="K55">
        <f>E55-F55*G55</f>
        <v/>
      </c>
      <c r="L55">
        <f>F55*G55</f>
        <v/>
      </c>
    </row>
    <row r="56">
      <c r="A56" t="inlineStr">
        <is>
          <t>seg_51</t>
        </is>
      </c>
      <c r="B56">
        <f>INDEX(Data!A:A,52)</f>
        <v/>
      </c>
      <c r="C56">
        <f>INDEX(Data!B:B,52)</f>
        <v/>
      </c>
      <c r="D56">
        <f>INDEX(Data!C:C,52)</f>
        <v/>
      </c>
      <c r="E56">
        <f>INDEX(Data!D:D,52)</f>
        <v/>
      </c>
      <c r="F56">
        <f>INDEX(Data!E:E,52)</f>
        <v/>
      </c>
      <c r="G56">
        <f>INDEX(Data!F:F,52)</f>
        <v/>
      </c>
      <c r="H56">
        <f>INDEX(Data!G:G,52)</f>
        <v/>
      </c>
      <c r="I56">
        <f>INDEX(Data!H:H,52)*0+5000000.0</f>
        <v/>
      </c>
      <c r="J56" t="n">
        <v>0</v>
      </c>
      <c r="K56">
        <f>E56-F56*G56</f>
        <v/>
      </c>
      <c r="L56">
        <f>F56*G56</f>
        <v/>
      </c>
    </row>
    <row r="57">
      <c r="A57" t="inlineStr">
        <is>
          <t>seg_52</t>
        </is>
      </c>
      <c r="B57">
        <f>INDEX(Data!A:A,53)</f>
        <v/>
      </c>
      <c r="C57">
        <f>INDEX(Data!B:B,53)</f>
        <v/>
      </c>
      <c r="D57">
        <f>INDEX(Data!C:C,53)</f>
        <v/>
      </c>
      <c r="E57">
        <f>INDEX(Data!D:D,53)</f>
        <v/>
      </c>
      <c r="F57">
        <f>INDEX(Data!E:E,53)</f>
        <v/>
      </c>
      <c r="G57">
        <f>INDEX(Data!F:F,53)</f>
        <v/>
      </c>
      <c r="H57">
        <f>INDEX(Data!G:G,53)</f>
        <v/>
      </c>
      <c r="I57">
        <f>INDEX(Data!H:H,53)*0+5000000.0</f>
        <v/>
      </c>
      <c r="J57" t="n">
        <v>0</v>
      </c>
      <c r="K57">
        <f>E57-F57*G57</f>
        <v/>
      </c>
      <c r="L57">
        <f>F57*G57</f>
        <v/>
      </c>
    </row>
    <row r="58">
      <c r="A58" t="inlineStr">
        <is>
          <t>seg_53</t>
        </is>
      </c>
      <c r="B58">
        <f>INDEX(Data!A:A,54)</f>
        <v/>
      </c>
      <c r="C58">
        <f>INDEX(Data!B:B,54)</f>
        <v/>
      </c>
      <c r="D58">
        <f>INDEX(Data!C:C,54)</f>
        <v/>
      </c>
      <c r="E58">
        <f>INDEX(Data!D:D,54)</f>
        <v/>
      </c>
      <c r="F58">
        <f>INDEX(Data!E:E,54)</f>
        <v/>
      </c>
      <c r="G58">
        <f>INDEX(Data!F:F,54)</f>
        <v/>
      </c>
      <c r="H58">
        <f>INDEX(Data!G:G,54)</f>
        <v/>
      </c>
      <c r="I58">
        <f>INDEX(Data!H:H,54)*0+5000000.0</f>
        <v/>
      </c>
      <c r="J58" t="n">
        <v>0</v>
      </c>
      <c r="K58">
        <f>E58-F58*G58</f>
        <v/>
      </c>
      <c r="L58">
        <f>F58*G58</f>
        <v/>
      </c>
    </row>
    <row r="59">
      <c r="A59" t="inlineStr">
        <is>
          <t>seg_54</t>
        </is>
      </c>
      <c r="B59">
        <f>INDEX(Data!A:A,55)</f>
        <v/>
      </c>
      <c r="C59">
        <f>INDEX(Data!B:B,55)</f>
        <v/>
      </c>
      <c r="D59">
        <f>INDEX(Data!C:C,55)</f>
        <v/>
      </c>
      <c r="E59">
        <f>INDEX(Data!D:D,55)</f>
        <v/>
      </c>
      <c r="F59">
        <f>INDEX(Data!E:E,55)</f>
        <v/>
      </c>
      <c r="G59">
        <f>INDEX(Data!F:F,55)</f>
        <v/>
      </c>
      <c r="H59">
        <f>INDEX(Data!G:G,55)</f>
        <v/>
      </c>
      <c r="I59">
        <f>INDEX(Data!H:H,55)*0+5000000.0</f>
        <v/>
      </c>
      <c r="J59" t="n">
        <v>5000000</v>
      </c>
      <c r="K59">
        <f>E59-F59*G59</f>
        <v/>
      </c>
      <c r="L59">
        <f>F59*G59</f>
        <v/>
      </c>
    </row>
    <row r="60">
      <c r="A60" t="inlineStr">
        <is>
          <t>seg_55</t>
        </is>
      </c>
      <c r="B60">
        <f>INDEX(Data!A:A,56)</f>
        <v/>
      </c>
      <c r="C60">
        <f>INDEX(Data!B:B,56)</f>
        <v/>
      </c>
      <c r="D60">
        <f>INDEX(Data!C:C,56)</f>
        <v/>
      </c>
      <c r="E60">
        <f>INDEX(Data!D:D,56)</f>
        <v/>
      </c>
      <c r="F60">
        <f>INDEX(Data!E:E,56)</f>
        <v/>
      </c>
      <c r="G60">
        <f>INDEX(Data!F:F,56)</f>
        <v/>
      </c>
      <c r="H60">
        <f>INDEX(Data!G:G,56)</f>
        <v/>
      </c>
      <c r="I60">
        <f>INDEX(Data!H:H,56)*0+5000000.0</f>
        <v/>
      </c>
      <c r="J60" t="n">
        <v>0</v>
      </c>
      <c r="K60">
        <f>E60-F60*G60</f>
        <v/>
      </c>
      <c r="L60">
        <f>F60*G60</f>
        <v/>
      </c>
    </row>
    <row r="61">
      <c r="A61" t="inlineStr">
        <is>
          <t>seg_56</t>
        </is>
      </c>
      <c r="B61">
        <f>INDEX(Data!A:A,57)</f>
        <v/>
      </c>
      <c r="C61">
        <f>INDEX(Data!B:B,57)</f>
        <v/>
      </c>
      <c r="D61">
        <f>INDEX(Data!C:C,57)</f>
        <v/>
      </c>
      <c r="E61">
        <f>INDEX(Data!D:D,57)</f>
        <v/>
      </c>
      <c r="F61">
        <f>INDEX(Data!E:E,57)</f>
        <v/>
      </c>
      <c r="G61">
        <f>INDEX(Data!F:F,57)</f>
        <v/>
      </c>
      <c r="H61">
        <f>INDEX(Data!G:G,57)</f>
        <v/>
      </c>
      <c r="I61">
        <f>INDEX(Data!H:H,57)*0+5000000.0</f>
        <v/>
      </c>
      <c r="J61" t="n">
        <v>5000000</v>
      </c>
      <c r="K61">
        <f>E61-F61*G61</f>
        <v/>
      </c>
      <c r="L61">
        <f>F61*G61</f>
        <v/>
      </c>
    </row>
    <row r="62">
      <c r="A62" t="inlineStr">
        <is>
          <t>seg_57</t>
        </is>
      </c>
      <c r="B62">
        <f>INDEX(Data!A:A,58)</f>
        <v/>
      </c>
      <c r="C62">
        <f>INDEX(Data!B:B,58)</f>
        <v/>
      </c>
      <c r="D62">
        <f>INDEX(Data!C:C,58)</f>
        <v/>
      </c>
      <c r="E62">
        <f>INDEX(Data!D:D,58)</f>
        <v/>
      </c>
      <c r="F62">
        <f>INDEX(Data!E:E,58)</f>
        <v/>
      </c>
      <c r="G62">
        <f>INDEX(Data!F:F,58)</f>
        <v/>
      </c>
      <c r="H62">
        <f>INDEX(Data!G:G,58)</f>
        <v/>
      </c>
      <c r="I62">
        <f>INDEX(Data!H:H,58)*0+5000000.0</f>
        <v/>
      </c>
      <c r="J62" t="n">
        <v>5000000</v>
      </c>
      <c r="K62">
        <f>E62-F62*G62</f>
        <v/>
      </c>
      <c r="L62">
        <f>F62*G62</f>
        <v/>
      </c>
    </row>
    <row r="63">
      <c r="A63" t="inlineStr">
        <is>
          <t>seg_58</t>
        </is>
      </c>
      <c r="B63">
        <f>INDEX(Data!A:A,59)</f>
        <v/>
      </c>
      <c r="C63">
        <f>INDEX(Data!B:B,59)</f>
        <v/>
      </c>
      <c r="D63">
        <f>INDEX(Data!C:C,59)</f>
        <v/>
      </c>
      <c r="E63">
        <f>INDEX(Data!D:D,59)</f>
        <v/>
      </c>
      <c r="F63">
        <f>INDEX(Data!E:E,59)</f>
        <v/>
      </c>
      <c r="G63">
        <f>INDEX(Data!F:F,59)</f>
        <v/>
      </c>
      <c r="H63">
        <f>INDEX(Data!G:G,59)</f>
        <v/>
      </c>
      <c r="I63">
        <f>INDEX(Data!H:H,59)*0+5000000.0</f>
        <v/>
      </c>
      <c r="J63" t="n">
        <v>0</v>
      </c>
      <c r="K63">
        <f>E63-F63*G63</f>
        <v/>
      </c>
      <c r="L63">
        <f>F63*G63</f>
        <v/>
      </c>
    </row>
    <row r="64">
      <c r="A64" t="inlineStr">
        <is>
          <t>seg_59</t>
        </is>
      </c>
      <c r="B64">
        <f>INDEX(Data!A:A,60)</f>
        <v/>
      </c>
      <c r="C64">
        <f>INDEX(Data!B:B,60)</f>
        <v/>
      </c>
      <c r="D64">
        <f>INDEX(Data!C:C,60)</f>
        <v/>
      </c>
      <c r="E64">
        <f>INDEX(Data!D:D,60)</f>
        <v/>
      </c>
      <c r="F64">
        <f>INDEX(Data!E:E,60)</f>
        <v/>
      </c>
      <c r="G64">
        <f>INDEX(Data!F:F,60)</f>
        <v/>
      </c>
      <c r="H64">
        <f>INDEX(Data!G:G,60)</f>
        <v/>
      </c>
      <c r="I64">
        <f>INDEX(Data!H:H,60)*0+5000000.0</f>
        <v/>
      </c>
      <c r="J64" t="n">
        <v>0</v>
      </c>
      <c r="K64">
        <f>E64-F64*G64</f>
        <v/>
      </c>
      <c r="L64">
        <f>F64*G64</f>
        <v/>
      </c>
    </row>
    <row r="65">
      <c r="A65" t="inlineStr">
        <is>
          <t>seg_60</t>
        </is>
      </c>
      <c r="B65">
        <f>INDEX(Data!A:A,61)</f>
        <v/>
      </c>
      <c r="C65">
        <f>INDEX(Data!B:B,61)</f>
        <v/>
      </c>
      <c r="D65">
        <f>INDEX(Data!C:C,61)</f>
        <v/>
      </c>
      <c r="E65">
        <f>INDEX(Data!D:D,61)</f>
        <v/>
      </c>
      <c r="F65">
        <f>INDEX(Data!E:E,61)</f>
        <v/>
      </c>
      <c r="G65">
        <f>INDEX(Data!F:F,61)</f>
        <v/>
      </c>
      <c r="H65">
        <f>INDEX(Data!G:G,61)</f>
        <v/>
      </c>
      <c r="I65">
        <f>INDEX(Data!H:H,61)*0+5000000.0</f>
        <v/>
      </c>
      <c r="J65" t="n">
        <v>0</v>
      </c>
      <c r="K65">
        <f>E65-F65*G65</f>
        <v/>
      </c>
      <c r="L65">
        <f>F65*G65</f>
        <v/>
      </c>
    </row>
    <row r="68">
      <c r="A68" t="inlineStr">
        <is>
          <t>OBJ_RAR</t>
        </is>
      </c>
      <c r="B68">
        <f>SUMPRODUCT(K6:K65,J6:J65)</f>
        <v/>
      </c>
    </row>
    <row r="69">
      <c r="A69" t="inlineStr">
        <is>
          <t>Total_Asignado</t>
        </is>
      </c>
      <c r="B69">
        <f>SUM(J6:J65)</f>
        <v/>
      </c>
    </row>
    <row r="70">
      <c r="A70" t="inlineStr">
        <is>
          <t>Total_EL</t>
        </is>
      </c>
      <c r="B70">
        <f>SUMPRODUCT(L6:L65,J6:J65)</f>
        <v/>
      </c>
    </row>
    <row r="71">
      <c r="A71" t="inlineStr">
        <is>
          <t>Total_Return</t>
        </is>
      </c>
      <c r="B71">
        <f>SUMPRODUCT(E6:E65,J6:J65)</f>
        <v/>
      </c>
    </row>
    <row r="72">
      <c r="A72" t="inlineStr">
        <is>
          <t>Avg_FICO</t>
        </is>
      </c>
      <c r="B72">
        <f>SUMPRODUCT(D6:D65,J6:J65)/MAX(B2,1)</f>
        <v/>
      </c>
    </row>
    <row r="73">
      <c r="A73" t="inlineStr">
        <is>
          <t>Avg_DTI</t>
        </is>
      </c>
      <c r="B73">
        <f>SUMPRODUCT(H6:H65,J6:J65)/MAX(B2,1)</f>
        <v/>
      </c>
    </row>
    <row r="75">
      <c r="A75" t="inlineStr">
        <is>
          <t>Control de límites</t>
        </is>
      </c>
    </row>
    <row r="76">
      <c r="A76" t="inlineStr">
        <is>
          <t>Región</t>
        </is>
      </c>
      <c r="B76" t="inlineStr">
        <is>
          <t>Asignado</t>
        </is>
      </c>
      <c r="C76" t="inlineStr">
        <is>
          <t>Límite</t>
        </is>
      </c>
    </row>
    <row r="77">
      <c r="A77" t="inlineStr">
        <is>
          <t>Andina</t>
        </is>
      </c>
      <c r="B77">
        <f>SUMIF(B6:B65,A77,J6:J65)</f>
        <v/>
      </c>
      <c r="C77" t="n">
        <v>35000000</v>
      </c>
    </row>
    <row r="78">
      <c r="A78" t="inlineStr">
        <is>
          <t>Caribe</t>
        </is>
      </c>
      <c r="B78">
        <f>SUMIF(B6:B65,A78,J6:J65)</f>
        <v/>
      </c>
      <c r="C78" t="n">
        <v>25000000</v>
      </c>
    </row>
    <row r="79">
      <c r="A79" t="inlineStr">
        <is>
          <t>Pacífica</t>
        </is>
      </c>
      <c r="B79">
        <f>SUMIF(B6:B65,A79,J6:J65)</f>
        <v/>
      </c>
      <c r="C79" t="n">
        <v>25000000</v>
      </c>
    </row>
    <row r="80">
      <c r="A80" t="inlineStr">
        <is>
          <t>Orinoquía</t>
        </is>
      </c>
      <c r="B80">
        <f>SUMIF(B6:B65,A80,J6:J65)</f>
        <v/>
      </c>
      <c r="C80" t="n">
        <v>20000000</v>
      </c>
    </row>
    <row r="81">
      <c r="A81" t="inlineStr">
        <is>
          <t>Amazonía</t>
        </is>
      </c>
      <c r="B81">
        <f>SUMIF(B6:B65,A81,J6:J65)</f>
        <v/>
      </c>
      <c r="C81" t="n">
        <v>15000000</v>
      </c>
    </row>
    <row r="83">
      <c r="A83" t="inlineStr">
        <is>
          <t>Propósito</t>
        </is>
      </c>
    </row>
    <row r="84">
      <c r="A84" t="inlineStr">
        <is>
          <t>Propósito</t>
        </is>
      </c>
      <c r="B84" t="inlineStr">
        <is>
          <t>Asignado</t>
        </is>
      </c>
      <c r="C84" t="inlineStr">
        <is>
          <t>Mín</t>
        </is>
      </c>
      <c r="D84" t="inlineStr">
        <is>
          <t>Máx</t>
        </is>
      </c>
    </row>
    <row r="85">
      <c r="A85" t="inlineStr">
        <is>
          <t>Deuda</t>
        </is>
      </c>
      <c r="B85">
        <f>SUMIF(C6:C65,A85,J6:J65)</f>
        <v/>
      </c>
      <c r="C85" t="n">
        <v>10000000</v>
      </c>
      <c r="D85" t="n">
        <v>40000000</v>
      </c>
    </row>
    <row r="86">
      <c r="A86" t="inlineStr">
        <is>
          <t>Negocio</t>
        </is>
      </c>
      <c r="B86">
        <f>SUMIF(C6:C65,A86,J6:J65)</f>
        <v/>
      </c>
      <c r="C86" t="n">
        <v>15000000</v>
      </c>
      <c r="D86" t="n">
        <v>35000000</v>
      </c>
    </row>
    <row r="87">
      <c r="A87" t="inlineStr">
        <is>
          <t>Vivienda</t>
        </is>
      </c>
      <c r="B87">
        <f>SUMIF(C6:C65,A87,J6:J65)</f>
        <v/>
      </c>
      <c r="C87" t="n">
        <v>20000000</v>
      </c>
      <c r="D87" t="n">
        <v>45000000</v>
      </c>
    </row>
    <row r="88">
      <c r="A88" t="inlineStr">
        <is>
          <t>Educación</t>
        </is>
      </c>
      <c r="B88">
        <f>SUMIF(C6:C65,A88,J6:J65)</f>
        <v/>
      </c>
      <c r="C88" t="n">
        <v>10000000</v>
      </c>
      <c r="D88" t="n">
        <v>30000000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APORTE 1 – Modelo PL (Excel Solver) – Axia Data</t>
        </is>
      </c>
    </row>
    <row r="2">
      <c r="A2" t="inlineStr">
        <is>
          <t>1) Hoja 'LP_Model':</t>
        </is>
      </c>
    </row>
    <row r="3">
      <c r="A3" t="inlineStr">
        <is>
          <t xml:space="preserve">   - B2 = BUDGET (cambiante).</t>
        </is>
      </c>
    </row>
    <row r="4">
      <c r="A4" t="inlineStr">
        <is>
          <t xml:space="preserve">   - Defina la celda objetivo: LP_Model!B68 (maximizar OBJ_RAR).</t>
        </is>
      </c>
    </row>
    <row r="5">
      <c r="A5" t="inlineStr">
        <is>
          <t xml:space="preserve">   - Celdas cambiantes: rango J6:J65 (x_vars).</t>
        </is>
      </c>
    </row>
    <row r="6">
      <c r="A6" t="inlineStr">
        <is>
          <t xml:space="preserve">   - Restricciones:</t>
        </is>
      </c>
    </row>
    <row r="7">
      <c r="A7" t="inlineStr">
        <is>
          <t xml:space="preserve">     a) Total_Asignado (B69) = BUDGET (B2).</t>
        </is>
      </c>
    </row>
    <row r="8">
      <c r="A8" t="inlineStr">
        <is>
          <t xml:space="preserve">     b) Avg_FICO (B72) &gt;= FICO_MIN (B3).</t>
        </is>
      </c>
    </row>
    <row r="9">
      <c r="A9" t="inlineStr">
        <is>
          <t xml:space="preserve">     c) Avg_DTI (B73) &lt;= DTI_MAX (B4).</t>
        </is>
      </c>
    </row>
    <row r="10">
      <c r="A10" t="inlineStr">
        <is>
          <t xml:space="preserve">     d) Para cada región en bloque 'Control de límites': Asignado &lt;= Límite.</t>
        </is>
      </c>
    </row>
    <row r="11">
      <c r="A11" t="inlineStr">
        <is>
          <t xml:space="preserve">     e) Para cada propósito: Asignado entre [Mín, Máx].</t>
        </is>
      </c>
    </row>
    <row r="12">
      <c r="A12" t="inlineStr">
        <is>
          <t xml:space="preserve">     f) No negatividad: x_vars &gt;= 0 y x_vars &lt;= EAD_cap (columna I).</t>
        </is>
      </c>
    </row>
    <row r="13">
      <c r="A13" t="inlineStr">
        <is>
          <t>2) Use 'Simplex LP' en Solver. Marque 'Convertir variables sin restricción a no negativas'.</t>
        </is>
      </c>
    </row>
    <row r="14">
      <c r="A14" t="inlineStr">
        <is>
          <t>3) Después de resolver, verifique los KPI (Total_Return, Total_EL, promedios).</t>
        </is>
      </c>
    </row>
    <row r="15">
      <c r="A15" t="inlineStr">
        <is>
          <t>4) 'Sensitivity' permite correr escenarios ±5/10/20% y nuevo presupuesto.</t>
        </is>
      </c>
    </row>
    <row r="16">
      <c r="A16" t="inlineStr">
        <is>
          <t>5) 'Binary_Model' contiene el modelo de crisis (0/1) para priorización de medidas.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Base</t>
        </is>
      </c>
      <c r="C1" t="inlineStr">
        <is>
          <t>-20%</t>
        </is>
      </c>
      <c r="D1" t="inlineStr">
        <is>
          <t>-10%</t>
        </is>
      </c>
      <c r="E1" t="inlineStr">
        <is>
          <t>-5%</t>
        </is>
      </c>
      <c r="F1" t="inlineStr">
        <is>
          <t>+5%</t>
        </is>
      </c>
      <c r="G1" t="inlineStr">
        <is>
          <t>+10%</t>
        </is>
      </c>
      <c r="H1" t="inlineStr">
        <is>
          <t>+20%</t>
        </is>
      </c>
      <c r="I1" t="inlineStr">
        <is>
          <t>Nota</t>
        </is>
      </c>
    </row>
    <row r="2">
      <c r="A2" t="inlineStr">
        <is>
          <t>APR (global multiplicador)</t>
        </is>
      </c>
      <c r="B2" t="n">
        <v>1</v>
      </c>
      <c r="C2" t="n">
        <v>0.8</v>
      </c>
      <c r="D2" t="n">
        <v>0.9</v>
      </c>
      <c r="E2" t="n">
        <v>0.95</v>
      </c>
      <c r="F2" t="n">
        <v>1.05</v>
      </c>
      <c r="G2" t="n">
        <v>1.1</v>
      </c>
      <c r="H2" t="n">
        <v>1.2</v>
      </c>
      <c r="I2" t="inlineStr">
        <is>
          <t>Multiplica Data!APR</t>
        </is>
      </c>
    </row>
    <row r="3">
      <c r="A3" t="inlineStr">
        <is>
          <t>PD (global multiplicador)</t>
        </is>
      </c>
      <c r="B3" t="n">
        <v>1</v>
      </c>
      <c r="C3" t="n">
        <v>0.8</v>
      </c>
      <c r="D3" t="n">
        <v>0.9</v>
      </c>
      <c r="E3" t="n">
        <v>0.95</v>
      </c>
      <c r="F3" t="n">
        <v>1.05</v>
      </c>
      <c r="G3" t="n">
        <v>1.1</v>
      </c>
      <c r="H3" t="n">
        <v>1.2</v>
      </c>
      <c r="I3" t="inlineStr">
        <is>
          <t>Multiplica Data!PD</t>
        </is>
      </c>
    </row>
    <row r="4">
      <c r="A4" t="inlineStr">
        <is>
          <t>BUDGET</t>
        </is>
      </c>
      <c r="B4" t="n">
        <v>100000000</v>
      </c>
      <c r="C4" t="n">
        <v>80000000</v>
      </c>
      <c r="D4" t="n">
        <v>90000000</v>
      </c>
      <c r="E4" t="n">
        <v>95000000</v>
      </c>
      <c r="F4" t="n">
        <v>105000000</v>
      </c>
      <c r="G4" t="n">
        <v>110000000</v>
      </c>
      <c r="H4" t="n">
        <v>120000000</v>
      </c>
      <c r="I4" t="inlineStr">
        <is>
          <t>Copia a LP_Model!B2</t>
        </is>
      </c>
    </row>
    <row r="5">
      <c r="A5" t="inlineStr">
        <is>
          <t>FICO_MIN</t>
        </is>
      </c>
      <c r="B5" t="n">
        <v>700</v>
      </c>
      <c r="C5" t="n">
        <v>700</v>
      </c>
      <c r="D5" t="n">
        <v>700</v>
      </c>
      <c r="E5" t="n">
        <v>710</v>
      </c>
      <c r="F5" t="n">
        <v>710</v>
      </c>
      <c r="G5" t="n">
        <v>720</v>
      </c>
      <c r="H5" t="n">
        <v>730</v>
      </c>
      <c r="I5" t="inlineStr">
        <is>
          <t>Pruebe umbrales</t>
        </is>
      </c>
    </row>
    <row r="6">
      <c r="A6" t="inlineStr">
        <is>
          <t>DTI_MAX</t>
        </is>
      </c>
      <c r="B6" t="n">
        <v>0.35</v>
      </c>
      <c r="C6" t="n">
        <v>0.3</v>
      </c>
      <c r="D6" t="n">
        <v>0.32</v>
      </c>
      <c r="E6" t="n">
        <v>0.33</v>
      </c>
      <c r="F6" t="n">
        <v>0.37</v>
      </c>
      <c r="G6" t="n">
        <v>0.38</v>
      </c>
      <c r="H6" t="n">
        <v>0.4</v>
      </c>
      <c r="I6" t="inlineStr">
        <is>
          <t>Pruebe umbrales</t>
        </is>
      </c>
    </row>
    <row r="8">
      <c r="A8" t="inlineStr">
        <is>
          <t>Resultado esperado (recalcule con Solver en cada columna)</t>
        </is>
      </c>
    </row>
    <row r="9">
      <c r="A9" t="inlineStr">
        <is>
          <t>Métrica</t>
        </is>
      </c>
      <c r="B9" t="inlineStr">
        <is>
          <t>Base</t>
        </is>
      </c>
      <c r="C9" t="inlineStr">
        <is>
          <t>-20%</t>
        </is>
      </c>
      <c r="D9" t="inlineStr">
        <is>
          <t>-10%</t>
        </is>
      </c>
      <c r="E9" t="inlineStr">
        <is>
          <t>-5%</t>
        </is>
      </c>
      <c r="F9" t="inlineStr">
        <is>
          <t>+5%</t>
        </is>
      </c>
      <c r="G9" t="inlineStr">
        <is>
          <t>+10%</t>
        </is>
      </c>
      <c r="H9" t="inlineStr">
        <is>
          <t>+20%</t>
        </is>
      </c>
    </row>
    <row r="10">
      <c r="A10" t="inlineStr">
        <is>
          <t>OBJ_RAR</t>
        </is>
      </c>
      <c r="B10">
        <f>LP_Model!B68</f>
        <v/>
      </c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Total_Asignado</t>
        </is>
      </c>
      <c r="B11">
        <f>LP_Model!B69</f>
        <v/>
      </c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Avg_FICO</t>
        </is>
      </c>
      <c r="B12">
        <f>LP_Model!B72</f>
        <v/>
      </c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Avg_DTI</t>
        </is>
      </c>
      <c r="B13">
        <f>LP_Model!B73</f>
        <v/>
      </c>
      <c r="C13" t="inlineStr"/>
      <c r="D13" t="inlineStr"/>
      <c r="E13" t="inlineStr"/>
      <c r="F13" t="inlineStr"/>
      <c r="G13" t="inlineStr"/>
      <c r="H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 binario de crisis – variables y parámetros</t>
        </is>
      </c>
    </row>
    <row r="2">
      <c r="A2" t="inlineStr">
        <is>
          <t>Descripción</t>
        </is>
      </c>
      <c r="B2" t="inlineStr">
        <is>
          <t>Valor</t>
        </is>
      </c>
      <c r="C2" t="inlineStr">
        <is>
          <t>Nota</t>
        </is>
      </c>
    </row>
    <row r="3">
      <c r="A3" t="inlineStr">
        <is>
          <t>Presupuesto de mitigación (M)</t>
        </is>
      </c>
      <c r="B3" t="n">
        <v>5000000</v>
      </c>
      <c r="C3" t="inlineStr">
        <is>
          <t>Tope en gastos de medidas</t>
        </is>
      </c>
    </row>
    <row r="4">
      <c r="A4" t="inlineStr">
        <is>
          <t>Costo por medida (por segmento)</t>
        </is>
      </c>
      <c r="B4">
        <f>ROUNDUP(0.002*LP_Model!B2,0)</f>
        <v/>
      </c>
      <c r="C4" t="inlineStr">
        <is>
          <t>2 bps del budget</t>
        </is>
      </c>
    </row>
    <row r="6">
      <c r="A6" t="inlineStr">
        <is>
          <t>Segmento</t>
        </is>
      </c>
      <c r="B6" t="inlineStr">
        <is>
          <t>Región</t>
        </is>
      </c>
      <c r="C6" t="inlineStr">
        <is>
          <t>Propósito</t>
        </is>
      </c>
      <c r="D6" t="inlineStr">
        <is>
          <t>FICO_mid</t>
        </is>
      </c>
      <c r="E6" t="inlineStr">
        <is>
          <t>PD_base</t>
        </is>
      </c>
      <c r="F6" t="inlineStr">
        <is>
          <t>Impacto_PD_si_activa</t>
        </is>
      </c>
      <c r="G6" t="inlineStr">
        <is>
          <t>Costo</t>
        </is>
      </c>
      <c r="H6" t="inlineStr">
        <is>
          <t>z(0/1)</t>
        </is>
      </c>
    </row>
    <row r="7">
      <c r="A7" t="inlineStr">
        <is>
          <t>seg_risk_1</t>
        </is>
      </c>
      <c r="B7" t="inlineStr">
        <is>
          <t>Andina</t>
        </is>
      </c>
      <c r="C7" t="inlineStr">
        <is>
          <t>Vivienda</t>
        </is>
      </c>
      <c r="D7" t="n">
        <v>680</v>
      </c>
      <c r="E7" t="n">
        <v>0.04565140933495398</v>
      </c>
      <c r="F7" t="n">
        <v>-0.015</v>
      </c>
      <c r="G7">
        <f>BINARY_MODEL!$B$3</f>
        <v/>
      </c>
      <c r="H7" t="n">
        <v>0</v>
      </c>
    </row>
    <row r="8">
      <c r="A8" t="inlineStr">
        <is>
          <t>seg_risk_2</t>
        </is>
      </c>
      <c r="B8" t="inlineStr">
        <is>
          <t>Pacífica</t>
        </is>
      </c>
      <c r="C8" t="inlineStr">
        <is>
          <t>Vivienda</t>
        </is>
      </c>
      <c r="D8" t="n">
        <v>680</v>
      </c>
      <c r="E8" t="n">
        <v>0.04602903356917339</v>
      </c>
      <c r="F8" t="n">
        <v>-0.015</v>
      </c>
      <c r="G8">
        <f>BINARY_MODEL!$B$3</f>
        <v/>
      </c>
      <c r="H8" t="n">
        <v>0</v>
      </c>
    </row>
    <row r="9">
      <c r="A9" t="inlineStr">
        <is>
          <t>seg_risk_3</t>
        </is>
      </c>
      <c r="B9" t="inlineStr">
        <is>
          <t>Orinoquía</t>
        </is>
      </c>
      <c r="C9" t="inlineStr">
        <is>
          <t>Vivienda</t>
        </is>
      </c>
      <c r="D9" t="n">
        <v>680</v>
      </c>
      <c r="E9" t="n">
        <v>0.04713941914379116</v>
      </c>
      <c r="F9" t="n">
        <v>-0.015</v>
      </c>
      <c r="G9">
        <f>BINARY_MODEL!$B$3</f>
        <v/>
      </c>
      <c r="H9" t="n">
        <v>0</v>
      </c>
    </row>
    <row r="10">
      <c r="A10" t="inlineStr">
        <is>
          <t>seg_risk_4</t>
        </is>
      </c>
      <c r="B10" t="inlineStr">
        <is>
          <t>Amazonía</t>
        </is>
      </c>
      <c r="C10" t="inlineStr">
        <is>
          <t>Vivienda</t>
        </is>
      </c>
      <c r="D10" t="n">
        <v>680</v>
      </c>
      <c r="E10" t="n">
        <v>0.04969441686197989</v>
      </c>
      <c r="F10" t="n">
        <v>-0.015</v>
      </c>
      <c r="G10">
        <f>BINARY_MODEL!$B$3</f>
        <v/>
      </c>
      <c r="H10" t="n">
        <v>0</v>
      </c>
    </row>
    <row r="11">
      <c r="A11" t="inlineStr">
        <is>
          <t>seg_risk_5</t>
        </is>
      </c>
      <c r="B11" t="inlineStr">
        <is>
          <t>Andina</t>
        </is>
      </c>
      <c r="C11" t="inlineStr">
        <is>
          <t>Vivienda</t>
        </is>
      </c>
      <c r="D11" t="n">
        <v>720</v>
      </c>
      <c r="E11" t="n">
        <v>0.03295903548458121</v>
      </c>
      <c r="F11" t="n">
        <v>-0.015</v>
      </c>
      <c r="G11">
        <f>BINARY_MODEL!$B$3</f>
        <v/>
      </c>
      <c r="H11" t="n">
        <v>0</v>
      </c>
    </row>
    <row r="12">
      <c r="A12" t="inlineStr">
        <is>
          <t>seg_risk_6</t>
        </is>
      </c>
      <c r="B12" t="inlineStr">
        <is>
          <t>Caribe</t>
        </is>
      </c>
      <c r="C12" t="inlineStr">
        <is>
          <t>Vivienda</t>
        </is>
      </c>
      <c r="D12" t="n">
        <v>680</v>
      </c>
      <c r="E12" t="n">
        <v>0.05144659767740102</v>
      </c>
      <c r="F12" t="n">
        <v>-0.015</v>
      </c>
      <c r="G12">
        <f>BINARY_MODEL!$B$3</f>
        <v/>
      </c>
      <c r="H12" t="n">
        <v>0</v>
      </c>
    </row>
    <row r="13">
      <c r="A13" t="inlineStr">
        <is>
          <t>seg_risk_7</t>
        </is>
      </c>
      <c r="B13" t="inlineStr">
        <is>
          <t>Pacífica</t>
        </is>
      </c>
      <c r="C13" t="inlineStr">
        <is>
          <t>Vivienda</t>
        </is>
      </c>
      <c r="D13" t="n">
        <v>720</v>
      </c>
      <c r="E13" t="n">
        <v>0.03685237866621528</v>
      </c>
      <c r="F13" t="n">
        <v>-0.015</v>
      </c>
      <c r="G13">
        <f>BINARY_MODEL!$B$3</f>
        <v/>
      </c>
      <c r="H13" t="n">
        <v>0</v>
      </c>
    </row>
    <row r="14">
      <c r="A14" t="inlineStr">
        <is>
          <t>seg_risk_8</t>
        </is>
      </c>
      <c r="B14" t="inlineStr">
        <is>
          <t>Pacífica</t>
        </is>
      </c>
      <c r="C14" t="inlineStr">
        <is>
          <t>Educación</t>
        </is>
      </c>
      <c r="D14" t="n">
        <v>680</v>
      </c>
      <c r="E14" t="n">
        <v>0.06170440090439534</v>
      </c>
      <c r="F14" t="n">
        <v>-0.015</v>
      </c>
      <c r="G14">
        <f>BINARY_MODEL!$B$3</f>
        <v/>
      </c>
      <c r="H14" t="n">
        <v>0</v>
      </c>
    </row>
    <row r="15">
      <c r="A15" t="inlineStr">
        <is>
          <t>seg_risk_9</t>
        </is>
      </c>
      <c r="B15" t="inlineStr">
        <is>
          <t>Orinoquía</t>
        </is>
      </c>
      <c r="C15" t="inlineStr">
        <is>
          <t>Vivienda</t>
        </is>
      </c>
      <c r="D15" t="n">
        <v>720</v>
      </c>
      <c r="E15" t="n">
        <v>0.03560571704057238</v>
      </c>
      <c r="F15" t="n">
        <v>-0.015</v>
      </c>
      <c r="G15">
        <f>BINARY_MODEL!$B$3</f>
        <v/>
      </c>
      <c r="H15" t="n">
        <v>0</v>
      </c>
    </row>
    <row r="16">
      <c r="A16" t="inlineStr">
        <is>
          <t>seg_risk_10</t>
        </is>
      </c>
      <c r="B16" t="inlineStr">
        <is>
          <t>Pacífica</t>
        </is>
      </c>
      <c r="C16" t="inlineStr">
        <is>
          <t>Vivienda</t>
        </is>
      </c>
      <c r="D16" t="n">
        <v>770</v>
      </c>
      <c r="E16" t="n">
        <v>0.02509514320999357</v>
      </c>
      <c r="F16" t="n">
        <v>-0.015</v>
      </c>
      <c r="G16">
        <f>BINARY_MODEL!$B$3</f>
        <v/>
      </c>
      <c r="H16" t="n">
        <v>0</v>
      </c>
    </row>
    <row r="17">
      <c r="A17" t="inlineStr">
        <is>
          <t>seg_risk_11</t>
        </is>
      </c>
      <c r="B17" t="inlineStr">
        <is>
          <t>Andina</t>
        </is>
      </c>
      <c r="C17" t="inlineStr">
        <is>
          <t>Vivienda</t>
        </is>
      </c>
      <c r="D17" t="n">
        <v>770</v>
      </c>
      <c r="E17" t="n">
        <v>0.02372258246721741</v>
      </c>
      <c r="F17" t="n">
        <v>-0.015</v>
      </c>
      <c r="G17">
        <f>BINARY_MODEL!$B$3</f>
        <v/>
      </c>
      <c r="H17" t="n">
        <v>0</v>
      </c>
    </row>
    <row r="18">
      <c r="A18" t="inlineStr">
        <is>
          <t>seg_risk_12</t>
        </is>
      </c>
      <c r="B18" t="inlineStr">
        <is>
          <t>Caribe</t>
        </is>
      </c>
      <c r="C18" t="inlineStr">
        <is>
          <t>Vivienda</t>
        </is>
      </c>
      <c r="D18" t="n">
        <v>720</v>
      </c>
      <c r="E18" t="n">
        <v>0.03558787938134313</v>
      </c>
      <c r="F18" t="n">
        <v>-0.015</v>
      </c>
      <c r="G18">
        <f>BINARY_MODEL!$B$3</f>
        <v/>
      </c>
      <c r="H18" t="n">
        <v>0</v>
      </c>
    </row>
    <row r="19">
      <c r="A19" t="inlineStr">
        <is>
          <t>seg_risk_13</t>
        </is>
      </c>
      <c r="B19" t="inlineStr">
        <is>
          <t>Orinoquía</t>
        </is>
      </c>
      <c r="C19" t="inlineStr">
        <is>
          <t>Vivienda</t>
        </is>
      </c>
      <c r="D19" t="n">
        <v>770</v>
      </c>
      <c r="E19" t="n">
        <v>0.02710244839951327</v>
      </c>
      <c r="F19" t="n">
        <v>-0.015</v>
      </c>
      <c r="G19">
        <f>BINARY_MODEL!$B$3</f>
        <v/>
      </c>
      <c r="H19" t="n">
        <v>0</v>
      </c>
    </row>
    <row r="20">
      <c r="A20" t="inlineStr">
        <is>
          <t>seg_risk_14</t>
        </is>
      </c>
      <c r="B20" t="inlineStr">
        <is>
          <t>Caribe</t>
        </is>
      </c>
      <c r="C20" t="inlineStr">
        <is>
          <t>Vivienda</t>
        </is>
      </c>
      <c r="D20" t="n">
        <v>770</v>
      </c>
      <c r="E20" t="n">
        <v>0.02674347595926603</v>
      </c>
      <c r="F20" t="n">
        <v>-0.015</v>
      </c>
      <c r="G20">
        <f>BINARY_MODEL!$B$3</f>
        <v/>
      </c>
      <c r="H20" t="n">
        <v>0</v>
      </c>
    </row>
    <row r="21">
      <c r="A21" t="inlineStr">
        <is>
          <t>seg_risk_15</t>
        </is>
      </c>
      <c r="B21" t="inlineStr">
        <is>
          <t>Amazonía</t>
        </is>
      </c>
      <c r="C21" t="inlineStr">
        <is>
          <t>Vivienda</t>
        </is>
      </c>
      <c r="D21" t="n">
        <v>770</v>
      </c>
      <c r="E21" t="n">
        <v>0.02783041655764812</v>
      </c>
      <c r="F21" t="n">
        <v>-0.015</v>
      </c>
      <c r="G21">
        <f>BINARY_MODEL!$B$3</f>
        <v/>
      </c>
      <c r="H21" t="n">
        <v>0</v>
      </c>
    </row>
    <row r="22">
      <c r="A22" t="inlineStr">
        <is>
          <t>seg_risk_16</t>
        </is>
      </c>
      <c r="B22" t="inlineStr">
        <is>
          <t>Caribe</t>
        </is>
      </c>
      <c r="C22" t="inlineStr">
        <is>
          <t>Educación</t>
        </is>
      </c>
      <c r="D22" t="n">
        <v>680</v>
      </c>
      <c r="E22" t="n">
        <v>0.06222896969958989</v>
      </c>
      <c r="F22" t="n">
        <v>-0.015</v>
      </c>
      <c r="G22">
        <f>BINARY_MODEL!$B$3</f>
        <v/>
      </c>
      <c r="H22" t="n">
        <v>0</v>
      </c>
    </row>
    <row r="23">
      <c r="A23" t="inlineStr">
        <is>
          <t>seg_risk_17</t>
        </is>
      </c>
      <c r="B23" t="inlineStr">
        <is>
          <t>Amazonía</t>
        </is>
      </c>
      <c r="C23" t="inlineStr">
        <is>
          <t>Educación</t>
        </is>
      </c>
      <c r="D23" t="n">
        <v>680</v>
      </c>
      <c r="E23" t="n">
        <v>0.06566196345431839</v>
      </c>
      <c r="F23" t="n">
        <v>-0.015</v>
      </c>
      <c r="G23">
        <f>BINARY_MODEL!$B$3</f>
        <v/>
      </c>
      <c r="H23" t="n">
        <v>0</v>
      </c>
    </row>
    <row r="24">
      <c r="A24" t="inlineStr">
        <is>
          <t>seg_risk_18</t>
        </is>
      </c>
      <c r="B24" t="inlineStr">
        <is>
          <t>Pacífica</t>
        </is>
      </c>
      <c r="C24" t="inlineStr">
        <is>
          <t>Educación</t>
        </is>
      </c>
      <c r="D24" t="n">
        <v>720</v>
      </c>
      <c r="E24" t="n">
        <v>0.04403043434968487</v>
      </c>
      <c r="F24" t="n">
        <v>-0.015</v>
      </c>
      <c r="G24">
        <f>BINARY_MODEL!$B$3</f>
        <v/>
      </c>
      <c r="H24" t="n">
        <v>0</v>
      </c>
    </row>
    <row r="25">
      <c r="A25" t="inlineStr">
        <is>
          <t>seg_risk_19</t>
        </is>
      </c>
      <c r="B25" t="inlineStr">
        <is>
          <t>Andina</t>
        </is>
      </c>
      <c r="C25" t="inlineStr">
        <is>
          <t>Educación</t>
        </is>
      </c>
      <c r="D25" t="n">
        <v>680</v>
      </c>
      <c r="E25" t="n">
        <v>0.05506077893259099</v>
      </c>
      <c r="F25" t="n">
        <v>-0.015</v>
      </c>
      <c r="G25">
        <f>BINARY_MODEL!$B$3</f>
        <v/>
      </c>
      <c r="H25" t="n">
        <v>0</v>
      </c>
    </row>
    <row r="26">
      <c r="A26" t="inlineStr">
        <is>
          <t>seg_risk_20</t>
        </is>
      </c>
      <c r="B26" t="inlineStr">
        <is>
          <t>Pacífica</t>
        </is>
      </c>
      <c r="C26" t="inlineStr">
        <is>
          <t>Deuda</t>
        </is>
      </c>
      <c r="D26" t="n">
        <v>680</v>
      </c>
      <c r="E26" t="n">
        <v>0.08856824611957508</v>
      </c>
      <c r="F26" t="n">
        <v>-0.015</v>
      </c>
      <c r="G26">
        <f>BINARY_MODEL!$B$3</f>
        <v/>
      </c>
      <c r="H26" t="n">
        <v>0</v>
      </c>
    </row>
    <row r="28">
      <c r="A28" t="inlineStr">
        <is>
          <t>Objetivo (min mora ajustada)</t>
        </is>
      </c>
      <c r="B28">
        <f>SUMPRODUCT(E8:E27,1+F8:F27*H8:H27)</f>
        <v/>
      </c>
    </row>
    <row r="29">
      <c r="A29" t="inlineStr">
        <is>
          <t>Costo total medidas</t>
        </is>
      </c>
      <c r="B29">
        <f>SUMPRODUCT(G8:G27,H8:H27)</f>
        <v/>
      </c>
    </row>
    <row r="30">
      <c r="A30" t="inlineStr">
        <is>
          <t>Restricción de presupuesto (&lt;= M)</t>
        </is>
      </c>
      <c r="B30">
        <f>BINARY_MODEL!B11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2025-10-29T02:43:12Z</dcterms:created>
  <dcterms:modified xmlns:dcterms="http://purl.org/dc/terms/" xmlns:xsi="http://www.w3.org/2001/XMLSchema-instance" xsi:type="dcterms:W3CDTF">2025-10-29T02:43:12Z</dcterms:modified>
</cp:coreProperties>
</file>