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rey\Downloads\Documentos_Proyecto_Integrador\"/>
    </mc:Choice>
  </mc:AlternateContent>
  <xr:revisionPtr revIDLastSave="0" documentId="13_ncr:1_{69353F25-E852-46AA-B34B-5D728A8D2653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📊 Dashboard Simulación" sheetId="1" r:id="rId1"/>
    <sheet name="📈 Datos Simulación" sheetId="2" r:id="rId2"/>
    <sheet name="📋 Actividades y Avances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<sst xmlns="http://schemas.openxmlformats.org/spreadsheetml/2006/main" count="240" uniqueCount="219">
  <si>
    <t>AXIA DATA — MODELADO Y SIMULACIÓN | Dashboard Ejecutivo</t>
  </si>
  <si>
    <t>Fundación Universitaria San Mateo  •  X Semestre  •  Docente: Jorge Ismael Medina Plaza</t>
  </si>
  <si>
    <t>◆  RESULTADOS DE MODELOS DE SIMULACIÓN  ◆</t>
  </si>
  <si>
    <t>Modelo</t>
  </si>
  <si>
    <t>Tipo</t>
  </si>
  <si>
    <t>Variable</t>
  </si>
  <si>
    <t>Método Validación</t>
  </si>
  <si>
    <t>Error/MAPE</t>
  </si>
  <si>
    <t>Meta</t>
  </si>
  <si>
    <t>Estado</t>
  </si>
  <si>
    <t>Monte Carlo V5</t>
  </si>
  <si>
    <t>Estocástico</t>
  </si>
  <si>
    <t>Margen Operativo</t>
  </si>
  <si>
    <t>Backtesting 12 meses</t>
  </si>
  <si>
    <t>MAPE=4.2%</t>
  </si>
  <si>
    <t>≤8%</t>
  </si>
  <si>
    <t>✅ OK</t>
  </si>
  <si>
    <t>DES Pipeline V1</t>
  </si>
  <si>
    <t>Eventos Discretos</t>
  </si>
  <si>
    <t>Conversión</t>
  </si>
  <si>
    <t>Histórico 4 meses</t>
  </si>
  <si>
    <t>Error=6.7%</t>
  </si>
  <si>
    <t>≤10%</t>
  </si>
  <si>
    <t>Dinámica Clientes</t>
  </si>
  <si>
    <t>Sist. Dinámicos</t>
  </si>
  <si>
    <t>V3/V4 CLV+Retención</t>
  </si>
  <si>
    <t>Retrospectivo 18m</t>
  </si>
  <si>
    <t>R²=0.94</t>
  </si>
  <si>
    <t>≥0.90</t>
  </si>
  <si>
    <t>Agentes Churn</t>
  </si>
  <si>
    <t>Agentes</t>
  </si>
  <si>
    <t>Retención V4</t>
  </si>
  <si>
    <t>Test de Turing</t>
  </si>
  <si>
    <t>81% acuerdo</t>
  </si>
  <si>
    <t>≥75%</t>
  </si>
  <si>
    <t>◆  ESCENARIOS MONTE CARLO — MARGEN OPERATIVO (V5)  ◆</t>
  </si>
  <si>
    <t>Escenario</t>
  </si>
  <si>
    <t>Descripción</t>
  </si>
  <si>
    <t>P10 (Pesimista)</t>
  </si>
  <si>
    <t>P50 (Base)</t>
  </si>
  <si>
    <t>P90 (Optimista)</t>
  </si>
  <si>
    <t>Probabilidad Meta ≥20%</t>
  </si>
  <si>
    <t>Base</t>
  </si>
  <si>
    <t>Condiciones actuales de mercado</t>
  </si>
  <si>
    <t>8.2%</t>
  </si>
  <si>
    <t>15.8%</t>
  </si>
  <si>
    <t>19.7%</t>
  </si>
  <si>
    <t>73%</t>
  </si>
  <si>
    <t>Optimizado</t>
  </si>
  <si>
    <t>Reducción 10% costos operativos</t>
  </si>
  <si>
    <t>11.5%</t>
  </si>
  <si>
    <t>19.2%</t>
  </si>
  <si>
    <t>24.1%</t>
  </si>
  <si>
    <t>89%</t>
  </si>
  <si>
    <t>Estrés</t>
  </si>
  <si>
    <t>Recesión leve + nuevo competidor</t>
  </si>
  <si>
    <t>3.1%</t>
  </si>
  <si>
    <t>10.4%</t>
  </si>
  <si>
    <t>16.2%</t>
  </si>
  <si>
    <t>22%</t>
  </si>
  <si>
    <t>Óptimo</t>
  </si>
  <si>
    <t>Crecimiento acelerado + eficiencia</t>
  </si>
  <si>
    <t>14.2%</t>
  </si>
  <si>
    <t>22.8%</t>
  </si>
  <si>
    <t>28.5%</t>
  </si>
  <si>
    <t>96%</t>
  </si>
  <si>
    <t>◆  ANÁLISIS DE ESCENARIOS EXTERNOS — STRESS TEST  ◆</t>
  </si>
  <si>
    <t>Prob.</t>
  </si>
  <si>
    <t>ΔV1 Conversión</t>
  </si>
  <si>
    <t>ΔV4 Retención</t>
  </si>
  <si>
    <t>ΔV5 Margen</t>
  </si>
  <si>
    <t>Severidad</t>
  </si>
  <si>
    <t>Acción Recomendada</t>
  </si>
  <si>
    <t>Recesión Económica</t>
  </si>
  <si>
    <t>15%</t>
  </si>
  <si>
    <t>-35%</t>
  </si>
  <si>
    <t>-8%</t>
  </si>
  <si>
    <t>-5 pp</t>
  </si>
  <si>
    <t>🔴 Alta</t>
  </si>
  <si>
    <t>Plan de contingencia activado</t>
  </si>
  <si>
    <t>Nuevo Competidor</t>
  </si>
  <si>
    <t>30%</t>
  </si>
  <si>
    <t>-20%</t>
  </si>
  <si>
    <t>-12%</t>
  </si>
  <si>
    <t>-3 pp</t>
  </si>
  <si>
    <t>🟠 Media</t>
  </si>
  <si>
    <t>Refuerzo propuesta de valor</t>
  </si>
  <si>
    <t>Regulación Datos</t>
  </si>
  <si>
    <t>45%</t>
  </si>
  <si>
    <t>Neutro</t>
  </si>
  <si>
    <t>-3%</t>
  </si>
  <si>
    <t>-2 pp</t>
  </si>
  <si>
    <t>🟡 Baja</t>
  </si>
  <si>
    <t>Cumplimiento GDPR proactivo</t>
  </si>
  <si>
    <t>Boom Tecnológico</t>
  </si>
  <si>
    <t>25%</t>
  </si>
  <si>
    <t>+45%</t>
  </si>
  <si>
    <t>+5%</t>
  </si>
  <si>
    <t>+4 pp</t>
  </si>
  <si>
    <t>🟢 Positivo</t>
  </si>
  <si>
    <t>Inversión acelerada</t>
  </si>
  <si>
    <t>Crisis Infraestructura</t>
  </si>
  <si>
    <t>5%</t>
  </si>
  <si>
    <t>-60% (temp)</t>
  </si>
  <si>
    <t>Crítico</t>
  </si>
  <si>
    <t>-15pp (temp)</t>
  </si>
  <si>
    <t>🔴 Crítica</t>
  </si>
  <si>
    <t>DR Plan activación</t>
  </si>
  <si>
    <t>AXIA DATA — Proyecciones y Validación de Modelos de Simulación</t>
  </si>
  <si>
    <t>SIMULACIÓN DES — PIPELINE COMERCIAL: Escenarios de Conversión</t>
  </si>
  <si>
    <t>Mes</t>
  </si>
  <si>
    <t>Leads Entrada</t>
  </si>
  <si>
    <t>Escenario Base (cierres)</t>
  </si>
  <si>
    <t>Conv. Base (%)</t>
  </si>
  <si>
    <t>Escenario Optimizado (cierres)</t>
  </si>
  <si>
    <t>Conv. Opt. (%)</t>
  </si>
  <si>
    <t>Escenario Reducción (cierres)</t>
  </si>
  <si>
    <t>Conv. Red. (%)</t>
  </si>
  <si>
    <t>Enero</t>
  </si>
  <si>
    <t>Febrero</t>
  </si>
  <si>
    <t>Marzo</t>
  </si>
  <si>
    <t>Abril</t>
  </si>
  <si>
    <t>Mayo</t>
  </si>
  <si>
    <t>Junio</t>
  </si>
  <si>
    <t>DINÁMICA DE SISTEMAS — Proyección Base de Clientes (24 meses)</t>
  </si>
  <si>
    <t>Retención 87% (clientes)</t>
  </si>
  <si>
    <t>Retención 92% (clientes)</t>
  </si>
  <si>
    <t>Diferencia</t>
  </si>
  <si>
    <t>MRR Base ($K)</t>
  </si>
  <si>
    <t>MRR Opt ($K)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</si>
  <si>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</si>
  <si>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</si>
  <si>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</si>
  <si>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</si>
  <si>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</si>
  <si>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</si>
  <si>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</si>
  <si>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</si>
  <si>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</si>
  <si>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</si>
  <si>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</si>
  <si>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</si>
  <si>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</si>
  <si>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</si>
  <si>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</si>
  <si>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</si>
  <si>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</si>
  <si>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</si>
  <si>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</si>
  <si>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</si>
  <si>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</si>
  <si>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</si>
  <si>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</si>
  <si>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</si>
  <si>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AXIA DATA — Plan de Actividades — Modelado y Simulación</t>
  </si>
  <si>
    <t>#</t>
  </si>
  <si>
    <t>Actividad</t>
  </si>
  <si>
    <t>Entregable</t>
  </si>
  <si>
    <t>Responsable</t>
  </si>
  <si>
    <t>F. Inicio</t>
  </si>
  <si>
    <t>F. Fin</t>
  </si>
  <si>
    <t>Avance (%)</t>
  </si>
  <si>
    <t>Diseño modelos conceptuales de simulación</t>
  </si>
  <si>
    <t>Diagramas de modelos</t>
  </si>
  <si>
    <t>Equipo Simulación</t>
  </si>
  <si>
    <t>01/02/2025</t>
  </si>
  <si>
    <t>15/02/2025</t>
  </si>
  <si>
    <t>✅ Completado</t>
  </si>
  <si>
    <t>Implementación Monte Carlo V5</t>
  </si>
  <si>
    <t>Script Python + 10K iteraciones</t>
  </si>
  <si>
    <t>Data Scientist</t>
  </si>
  <si>
    <t>16/02/2025</t>
  </si>
  <si>
    <t>28/02/2025</t>
  </si>
  <si>
    <t>Implementación DES Pipeline V1</t>
  </si>
  <si>
    <t>Modelo SimPy funcional</t>
  </si>
  <si>
    <t>Ing. Simulación</t>
  </si>
  <si>
    <t>01/03/2025</t>
  </si>
  <si>
    <t>20/03/2025</t>
  </si>
  <si>
    <t>Modelo Dinámica de Sistemas V3/V4</t>
  </si>
  <si>
    <t>Modelo Vensim/Python</t>
  </si>
  <si>
    <t>Equipo Data</t>
  </si>
  <si>
    <t>21/03/2025</t>
  </si>
  <si>
    <t>10/04/2025</t>
  </si>
  <si>
    <t>Validación Monte Carlo (backtesting)</t>
  </si>
  <si>
    <t>Informe MAPE=4.2%</t>
  </si>
  <si>
    <t>11/04/2025</t>
  </si>
  <si>
    <t>20/04/2025</t>
  </si>
  <si>
    <t>Validación DES (histórico 4 meses)</t>
  </si>
  <si>
    <t>Informe error=6.7%</t>
  </si>
  <si>
    <t>21/04/2025</t>
  </si>
  <si>
    <t>30/04/2025</t>
  </si>
  <si>
    <t>Análisis de sensibilidad</t>
  </si>
  <si>
    <t>Documento parámetros críticos</t>
  </si>
  <si>
    <t>01/05/2025</t>
  </si>
  <si>
    <t>10/05/2025</t>
  </si>
  <si>
    <t>Optimización Mix Marketing</t>
  </si>
  <si>
    <t>Modelo LP Python</t>
  </si>
  <si>
    <t>11/05/2025</t>
  </si>
  <si>
    <t>20/05/2025</t>
  </si>
  <si>
    <t>Stress-test escenarios externos</t>
  </si>
  <si>
    <t>Informe 5 escenarios</t>
  </si>
  <si>
    <t>21/05/2025</t>
  </si>
  <si>
    <t>31/05/2025</t>
  </si>
  <si>
    <t>🔄 En Proceso</t>
  </si>
  <si>
    <t>Integración con dashboard ejecutivo</t>
  </si>
  <si>
    <t>Módulo simulación en BI</t>
  </si>
  <si>
    <t>Brayan Prieto</t>
  </si>
  <si>
    <t>01/06/2025</t>
  </si>
  <si>
    <t>20/06/2025</t>
  </si>
  <si>
    <t>Documentación técnica</t>
  </si>
  <si>
    <t>Documento Word final</t>
  </si>
  <si>
    <t>Todo el equipo</t>
  </si>
  <si>
    <t>21/06/2025</t>
  </si>
  <si>
    <t>30/06/2025</t>
  </si>
  <si>
    <t>Presentación final</t>
  </si>
  <si>
    <t>Slides ejecutivos</t>
  </si>
  <si>
    <t>01/07/2025</t>
  </si>
  <si>
    <t>10/07/2025</t>
  </si>
  <si>
    <t>⏳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</si>
</sst>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8C1F28"/>
        <bgColor rgb="FF993366"/>
      </patternFill>
    </fill>
    <fill>
      <patternFill patternType="solid">
        <fgColor rgb="FFD4820A"/>
        <bgColor rgb="FFE65100"/>
      </patternFill>
    </fill>
    <fill>
      <patternFill patternType="solid">
        <fgColor rgb="FFF4F4F4"/>
        <bgColor rgb="FFF9ECED"/>
      </patternFill>
    </fill>
    <fill>
      <patternFill patternType="solid">
        <fgColor rgb="FFFFFFFF"/>
        <bgColor rgb="FFF4F4F4"/>
      </patternFill>
    </fill>
    <fill>
      <patternFill patternType="solid">
        <fgColor rgb="FFF9ECED"/>
        <bgColor rgb="FFFDF3E3"/>
      </patternFill>
    </fill>
    <fill>
      <patternFill patternType="solid">
        <fgColor rgb="FFFDF3E3"/>
        <bgColor rgb="FFF9ECED"/>
      </patternFill>
    </fill>
    <fill>
      <patternFill patternType="solid">
        <fgColor rgb="FFE8F5E9"/>
        <bgColor rgb="FFF4F4F4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DF3E3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F9ECED"/>
      <rgbColor rgb="FFFFFF99"/>
      <rgbColor rgb="FF99CCFF"/>
      <rgbColor rgb="FFFF99CC"/>
      <rgbColor rgb="FFCC99FF"/>
      <rgbColor rgb="FFFFCC99"/>
      <rgbColor rgb="FF3366FF"/>
      <rgbColor rgb="FF46AAC4"/>
      <rgbColor rgb="FF99CC00"/>
      <rgbColor rgb="FFFFCC00"/>
      <rgbColor rgb="FFD4820A"/>
      <rgbColor rgb="FFE65100"/>
      <rgbColor rgb="FF666699"/>
      <rgbColor rgb="FF969696"/>
      <rgbColor rgb="FF003366"/>
      <rgbColor rgb="FF2E7D32"/>
      <rgbColor rgb="FF003300"/>
      <rgbColor rgb="FF333300"/>
      <rgbColor rgb="FF8C1F28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DES — Comparación de Escenarios de Conversión (Cierres/mes)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Datos Simulación'!$C$4</c:f>
              <c:strCache>
                <c:ptCount val="1"/>
                <c:pt idx="0">
                  <c:v>Escenario Base (cierres)</c:v>
                </c:pt>
              </c:strCache>
            </c:strRef>
          </c:tx>
          <c:spPr>
            <a:ln w="28440">
              <a:solidFill>
                <a:srgbClr val="8C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Simulación'!$A$5:$A$10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Simulación'!$C$5:$C$10</c:f>
              <c:numCache>
                <c:formatCode>General</c:formatCode>
                <c:ptCount val="6"/>
                <c:pt idx="0">
                  <c:v>67</c:v>
                </c:pt>
                <c:pt idx="1">
                  <c:v>70</c:v>
                </c:pt>
                <c:pt idx="2">
                  <c:v>73</c:v>
                </c:pt>
                <c:pt idx="3">
                  <c:v>78</c:v>
                </c:pt>
                <c:pt idx="4">
                  <c:v>82</c:v>
                </c:pt>
                <c:pt idx="5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11-4228-9E3A-3C9C9A3BD9E3}"/>
            </c:ext>
          </c:extLst>
        </c:ser>
        <c:ser>
          <c:idx val="1"/>
          <c:order val="1"/>
          <c:tx>
            <c:strRef>
              <c:f>'📈 Datos Simulación'!$D$4</c:f>
              <c:strCache>
                <c:ptCount val="1"/>
                <c:pt idx="0">
                  <c:v>Conv. Base (%)</c:v>
                </c:pt>
              </c:strCache>
            </c:strRef>
          </c:tx>
          <c:spPr>
            <a:ln w="28440">
              <a:solidFill>
                <a:srgbClr val="D4820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Simulación'!$A$5:$A$10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Simulación'!$D$5:$D$10</c:f>
              <c:numCache>
                <c:formatCode>General</c:formatCode>
                <c:ptCount val="6"/>
                <c:pt idx="0">
                  <c:v>14.9</c:v>
                </c:pt>
                <c:pt idx="1">
                  <c:v>15.1</c:v>
                </c:pt>
                <c:pt idx="2">
                  <c:v>15.2</c:v>
                </c:pt>
                <c:pt idx="3">
                  <c:v>15.6</c:v>
                </c:pt>
                <c:pt idx="4">
                  <c:v>15.8</c:v>
                </c:pt>
                <c:pt idx="5">
                  <c:v>16.100000000000001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11-4228-9E3A-3C9C9A3BD9E3}"/>
            </c:ext>
          </c:extLst>
        </c:ser>
        <c:ser>
          <c:idx val="2"/>
          <c:order val="2"/>
          <c:tx>
            <c:strRef>
              <c:f>'📈 Datos Simulación'!$E$4</c:f>
              <c:strCache>
                <c:ptCount val="1"/>
                <c:pt idx="0">
                  <c:v>Escenario Optimizado (cierres)</c:v>
                </c:pt>
              </c:strCache>
            </c:strRef>
          </c:tx>
          <c:spPr>
            <a:ln w="284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Simulación'!$A$5:$A$10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Simulación'!$E$5:$E$10</c:f>
              <c:numCache>
                <c:formatCode>General</c:formatCode>
                <c:ptCount val="6"/>
                <c:pt idx="0">
                  <c:v>89</c:v>
                </c:pt>
                <c:pt idx="1">
                  <c:v>92</c:v>
                </c:pt>
                <c:pt idx="2">
                  <c:v>96</c:v>
                </c:pt>
                <c:pt idx="3">
                  <c:v>102</c:v>
                </c:pt>
                <c:pt idx="4">
                  <c:v>108</c:v>
                </c:pt>
                <c:pt idx="5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B11-4228-9E3A-3C9C9A3BD9E3}"/>
            </c:ext>
          </c:extLst>
        </c:ser>
        <c:ser>
          <c:idx val="3"/>
          <c:order val="3"/>
          <c:tx>
            <c:strRef>
              <c:f>'📈 Datos Simulación'!$F$4</c:f>
              <c:strCache>
                <c:ptCount val="1"/>
                <c:pt idx="0">
                  <c:v>Conv. Opt. (%)</c:v>
                </c:pt>
              </c:strCache>
            </c:strRef>
          </c:tx>
          <c:spPr>
            <a:ln w="28440">
              <a:solidFill>
                <a:srgbClr val="E651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Simulación'!$A$5:$A$10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Simulación'!$F$5:$F$10</c:f>
              <c:numCache>
                <c:formatCode>General</c:formatCode>
                <c:ptCount val="6"/>
                <c:pt idx="0">
                  <c:v>19.8</c:v>
                </c:pt>
                <c:pt idx="1">
                  <c:v>19.8</c:v>
                </c:pt>
                <c:pt idx="2">
                  <c:v>20</c:v>
                </c:pt>
                <c:pt idx="3">
                  <c:v>20.399999999999999</c:v>
                </c:pt>
                <c:pt idx="4">
                  <c:v>20.8</c:v>
                </c:pt>
                <c:pt idx="5">
                  <c:v>21.1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B11-4228-9E3A-3C9C9A3BD9E3}"/>
            </c:ext>
          </c:extLst>
        </c:ser>
        <c:ser>
          <c:idx val="4"/>
          <c:order val="4"/>
          <c:tx>
            <c:strRef>
              <c:f>'📈 Datos Simulación'!$G$4</c:f>
              <c:strCache>
                <c:ptCount val="1"/>
                <c:pt idx="0">
                  <c:v>Escenario Reducción (cierres)</c:v>
                </c:pt>
              </c:strCache>
            </c:strRef>
          </c:tx>
          <c:spPr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Simulación'!$A$5:$A$10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'📈 Datos Simulación'!$G$5:$G$10</c:f>
              <c:numCache>
                <c:formatCode>General</c:formatCode>
                <c:ptCount val="6"/>
                <c:pt idx="0">
                  <c:v>52</c:v>
                </c:pt>
                <c:pt idx="1">
                  <c:v>54</c:v>
                </c:pt>
                <c:pt idx="2">
                  <c:v>56</c:v>
                </c:pt>
                <c:pt idx="3">
                  <c:v>58</c:v>
                </c:pt>
                <c:pt idx="4">
                  <c:v>60</c:v>
                </c:pt>
                <c:pt idx="5">
                  <c:v>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B11-4228-9E3A-3C9C9A3BD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146582"/>
        <c:axId val="55207022"/>
      </c:lineChart>
      <c:catAx>
        <c:axId val="14146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55207022"/>
        <c:crosses val="autoZero"/>
        <c:auto val="1"/>
        <c:lblAlgn val="ctr"/>
        <c:lblOffset val="100"/>
        <c:noMultiLvlLbl val="0"/>
      </c:catAx>
      <c:valAx>
        <c:axId val="552070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41465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Dinámica de Clientes: Retención 87% vs 92%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'📈 Datos Simulación'!$B$36</c:f>
              <c:strCache>
                <c:ptCount val="1"/>
                <c:pt idx="0">
                  <c:v>Retención 87% (clientes)</c:v>
                </c:pt>
              </c:strCache>
            </c:strRef>
          </c:tx>
          <c:spPr>
            <a:ln w="28440">
              <a:solidFill>
                <a:srgbClr val="8C1F2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Simulación'!$A$37:$A$60</c:f>
              <c:strCache>
                <c:ptCount val="24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  <c:pt idx="12">
                  <c:v>Mes 13</c:v>
                </c:pt>
                <c:pt idx="13">
                  <c:v>Mes 14</c:v>
                </c:pt>
                <c:pt idx="14">
                  <c:v>Mes 15</c:v>
                </c:pt>
                <c:pt idx="15">
                  <c:v>Mes 16</c:v>
                </c:pt>
                <c:pt idx="16">
                  <c:v>Mes 17</c:v>
                </c:pt>
                <c:pt idx="17">
                  <c:v>Mes 18</c:v>
                </c:pt>
                <c:pt idx="18">
                  <c:v>Mes 19</c:v>
                </c:pt>
                <c:pt idx="19">
                  <c:v>Mes 20</c:v>
                </c:pt>
                <c:pt idx="20">
                  <c:v>Mes 21</c:v>
                </c:pt>
                <c:pt idx="21">
                  <c:v>Mes 22</c:v>
                </c:pt>
                <c:pt idx="22">
                  <c:v>Mes 23</c:v>
                </c:pt>
                <c:pt idx="23">
                  <c:v>Mes 24</c:v>
                </c:pt>
              </c:strCache>
            </c:strRef>
          </c:cat>
          <c:val>
            <c:numRef>
              <c:f>'📈 Datos Simulación'!$B$37:$B$60</c:f>
              <c:numCache>
                <c:formatCode>General</c:formatCode>
                <c:ptCount val="24"/>
                <c:pt idx="0">
                  <c:v>1140</c:v>
                </c:pt>
                <c:pt idx="1">
                  <c:v>1083</c:v>
                </c:pt>
                <c:pt idx="2">
                  <c:v>1028</c:v>
                </c:pt>
                <c:pt idx="3">
                  <c:v>976</c:v>
                </c:pt>
                <c:pt idx="4">
                  <c:v>927</c:v>
                </c:pt>
                <c:pt idx="5">
                  <c:v>880</c:v>
                </c:pt>
                <c:pt idx="6">
                  <c:v>836</c:v>
                </c:pt>
                <c:pt idx="7">
                  <c:v>794</c:v>
                </c:pt>
                <c:pt idx="8">
                  <c:v>754</c:v>
                </c:pt>
                <c:pt idx="9">
                  <c:v>716</c:v>
                </c:pt>
                <c:pt idx="10">
                  <c:v>680</c:v>
                </c:pt>
                <c:pt idx="11">
                  <c:v>646</c:v>
                </c:pt>
                <c:pt idx="12">
                  <c:v>613</c:v>
                </c:pt>
                <c:pt idx="13">
                  <c:v>582</c:v>
                </c:pt>
                <c:pt idx="14">
                  <c:v>552</c:v>
                </c:pt>
                <c:pt idx="15">
                  <c:v>524</c:v>
                </c:pt>
                <c:pt idx="16">
                  <c:v>497</c:v>
                </c:pt>
                <c:pt idx="17">
                  <c:v>472</c:v>
                </c:pt>
                <c:pt idx="18">
                  <c:v>448</c:v>
                </c:pt>
                <c:pt idx="19">
                  <c:v>425</c:v>
                </c:pt>
                <c:pt idx="20">
                  <c:v>403</c:v>
                </c:pt>
                <c:pt idx="21">
                  <c:v>382</c:v>
                </c:pt>
                <c:pt idx="22">
                  <c:v>362</c:v>
                </c:pt>
                <c:pt idx="23">
                  <c:v>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AD-4E9E-81F5-94F814809956}"/>
            </c:ext>
          </c:extLst>
        </c:ser>
        <c:ser>
          <c:idx val="1"/>
          <c:order val="1"/>
          <c:tx>
            <c:strRef>
              <c:f>'📈 Datos Simulación'!$C$36</c:f>
              <c:strCache>
                <c:ptCount val="1"/>
                <c:pt idx="0">
                  <c:v>Retención 92% (clientes)</c:v>
                </c:pt>
              </c:strCache>
            </c:strRef>
          </c:tx>
          <c:spPr>
            <a:ln w="28440">
              <a:solidFill>
                <a:srgbClr val="D4820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Datos Simulación'!$A$37:$A$60</c:f>
              <c:strCache>
                <c:ptCount val="24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  <c:pt idx="12">
                  <c:v>Mes 13</c:v>
                </c:pt>
                <c:pt idx="13">
                  <c:v>Mes 14</c:v>
                </c:pt>
                <c:pt idx="14">
                  <c:v>Mes 15</c:v>
                </c:pt>
                <c:pt idx="15">
                  <c:v>Mes 16</c:v>
                </c:pt>
                <c:pt idx="16">
                  <c:v>Mes 17</c:v>
                </c:pt>
                <c:pt idx="17">
                  <c:v>Mes 18</c:v>
                </c:pt>
                <c:pt idx="18">
                  <c:v>Mes 19</c:v>
                </c:pt>
                <c:pt idx="19">
                  <c:v>Mes 20</c:v>
                </c:pt>
                <c:pt idx="20">
                  <c:v>Mes 21</c:v>
                </c:pt>
                <c:pt idx="21">
                  <c:v>Mes 22</c:v>
                </c:pt>
                <c:pt idx="22">
                  <c:v>Mes 23</c:v>
                </c:pt>
                <c:pt idx="23">
                  <c:v>Mes 24</c:v>
                </c:pt>
              </c:strCache>
            </c:strRef>
          </c:cat>
          <c:val>
            <c:numRef>
              <c:f>'📈 Datos Simulación'!$C$37:$C$60</c:f>
              <c:numCache>
                <c:formatCode>General</c:formatCode>
                <c:ptCount val="24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AD-4E9E-81F5-94F814809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531033"/>
        <c:axId val="19077639"/>
      </c:lineChart>
      <c:catAx>
        <c:axId val="205310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9077639"/>
        <c:crosses val="autoZero"/>
        <c:auto val="1"/>
        <c:lblAlgn val="ctr"/>
        <c:lblOffset val="100"/>
        <c:noMultiLvlLbl val="0"/>
      </c:catAx>
      <c:valAx>
        <c:axId val="19077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05310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Avance por Actividad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'📋 Actividades y Avances'!$G$2</c:f>
              <c:strCache>
                <c:ptCount val="1"/>
                <c:pt idx="0">
                  <c:v>Avance (%)</c:v>
                </c:pt>
              </c:strCache>
            </c:strRef>
          </c:tx>
          <c:spPr>
            <a:solidFill>
              <a:srgbClr val="D4820A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'📋 Actividades y Avances'!$B$3:$B$14</c:f>
              <c:strCache>
                <c:ptCount val="12"/>
                <c:pt idx="0">
                  <c:v>Diseño modelos conceptuales de simulación</c:v>
                </c:pt>
                <c:pt idx="1">
                  <c:v>Implementación Monte Carlo V5</c:v>
                </c:pt>
                <c:pt idx="2">
                  <c:v>Implementación DES Pipeline V1</c:v>
                </c:pt>
                <c:pt idx="3">
                  <c:v>Modelo Dinámica de Sistemas V3/V4</c:v>
                </c:pt>
                <c:pt idx="4">
                  <c:v>Validación Monte Carlo (backtesting)</c:v>
                </c:pt>
                <c:pt idx="5">
                  <c:v>Validación DES (histórico 4 meses)</c:v>
                </c:pt>
                <c:pt idx="6">
                  <c:v>Análisis de sensibilidad</c:v>
                </c:pt>
                <c:pt idx="7">
                  <c:v>Optimización Mix Marketing</c:v>
                </c:pt>
                <c:pt idx="8">
                  <c:v>Stress-test escenarios externos</c:v>
                </c:pt>
                <c:pt idx="9">
                  <c:v>Integración con dashboard ejecutivo</c:v>
                </c:pt>
                <c:pt idx="10">
                  <c:v>Documentación técnica</c:v>
                </c:pt>
                <c:pt idx="11">
                  <c:v>Presentación final</c:v>
                </c:pt>
              </c:strCache>
            </c:strRef>
          </c:cat>
          <c:val>
            <c:numRef>
              <c:f>'📋 Actividades y Avances'!$G$3:$G$14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90</c:v>
                </c:pt>
                <c:pt idx="9">
                  <c:v>70</c:v>
                </c:pt>
                <c:pt idx="10">
                  <c:v>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9-4DBA-82C8-20F753B20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43779"/>
        <c:axId val="84877710"/>
      </c:barChart>
      <c:catAx>
        <c:axId val="397437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4877710"/>
        <c:crosses val="autoZero"/>
        <c:auto val="1"/>
        <c:lblAlgn val="ctr"/>
        <c:lblOffset val="100"/>
        <c:noMultiLvlLbl val="0"/>
      </c:catAx>
      <c:valAx>
        <c:axId val="848777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9743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21645</xdr:rowOff>
    </xdr:from>
    <xdr:to>
      <xdr:col>6</xdr:col>
      <xdr:colOff>1591200</xdr:colOff>
      <xdr:row>33</xdr:row>
      <xdr:rowOff>93000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1057275</xdr:colOff>
      <xdr:row>33</xdr:row>
      <xdr:rowOff>183510</xdr:rowOff>
    </xdr:from>
    <xdr:to>
      <xdr:col>18</xdr:col>
      <xdr:colOff>8085</xdr:colOff>
      <xdr:row>56</xdr:row>
      <xdr:rowOff>35850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5</xdr:col>
      <xdr:colOff>659520</xdr:colOff>
      <xdr:row>42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zoomScaleNormal="100" workbookViewId="0">
      <selection activeCell="E9" sqref="E9"/>
    </sheetView>
  </sheetViews>
  <sheetFormatPr baseColWidth="10" defaultColWidth="8.7109375" defaultRowHeight="15" x14ac:dyDescent="0.25"/>
  <cols>
    <col min="1" max="1" width="28" customWidth="1"/>
    <col min="2" max="2" width="12" customWidth="1"/>
    <col min="3" max="3" width="16" customWidth="1"/>
    <col min="4" max="5" width="14" customWidth="1"/>
    <col min="6" max="6" width="12" customWidth="1"/>
    <col min="7" max="7" width="28" customWidth="1"/>
  </cols>
  <sheetData>
    <row r="1" spans="1:12" ht="34.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ht="24" customHeight="1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5.5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</row>
    <row r="6" spans="1:12" ht="18" customHeight="1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</row>
    <row r="7" spans="1:12" ht="18" customHeight="1" x14ac:dyDescent="0.25">
      <c r="A7" s="10" t="s">
        <v>17</v>
      </c>
      <c r="B7" s="10" t="s">
        <v>18</v>
      </c>
      <c r="C7" s="10" t="s">
        <v>19</v>
      </c>
      <c r="D7" s="10" t="s">
        <v>20</v>
      </c>
      <c r="E7" s="10" t="s">
        <v>21</v>
      </c>
      <c r="F7" s="10" t="s">
        <v>22</v>
      </c>
      <c r="G7" s="10" t="s">
        <v>16</v>
      </c>
    </row>
    <row r="8" spans="1:12" ht="18" customHeight="1" x14ac:dyDescent="0.25">
      <c r="A8" s="9" t="s">
        <v>23</v>
      </c>
      <c r="B8" s="9" t="s">
        <v>24</v>
      </c>
      <c r="C8" s="9" t="s">
        <v>25</v>
      </c>
      <c r="D8" s="9" t="s">
        <v>26</v>
      </c>
      <c r="E8" s="9" t="s">
        <v>27</v>
      </c>
      <c r="F8" s="9" t="s">
        <v>28</v>
      </c>
      <c r="G8" s="9" t="s">
        <v>16</v>
      </c>
    </row>
    <row r="9" spans="1:12" ht="18" customHeight="1" x14ac:dyDescent="0.25">
      <c r="A9" s="10" t="s">
        <v>29</v>
      </c>
      <c r="B9" s="10" t="s">
        <v>30</v>
      </c>
      <c r="C9" s="10" t="s">
        <v>31</v>
      </c>
      <c r="D9" s="10" t="s">
        <v>32</v>
      </c>
      <c r="E9" s="10" t="s">
        <v>33</v>
      </c>
      <c r="F9" s="10" t="s">
        <v>34</v>
      </c>
      <c r="G9" s="10" t="s">
        <v>16</v>
      </c>
    </row>
    <row r="11" spans="1:12" ht="24" customHeight="1" x14ac:dyDescent="0.25">
      <c r="A11" s="4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38.25" x14ac:dyDescent="0.25">
      <c r="A12" s="8" t="s">
        <v>36</v>
      </c>
      <c r="B12" s="8" t="s">
        <v>37</v>
      </c>
      <c r="C12" s="8" t="s">
        <v>38</v>
      </c>
      <c r="D12" s="8" t="s">
        <v>39</v>
      </c>
      <c r="E12" s="8" t="s">
        <v>40</v>
      </c>
      <c r="F12" s="8" t="s">
        <v>41</v>
      </c>
    </row>
    <row r="13" spans="1:12" ht="18" customHeight="1" x14ac:dyDescent="0.25">
      <c r="A13" s="9" t="s">
        <v>42</v>
      </c>
      <c r="B13" s="9" t="s">
        <v>43</v>
      </c>
      <c r="C13" s="9" t="s">
        <v>44</v>
      </c>
      <c r="D13" s="9" t="s">
        <v>45</v>
      </c>
      <c r="E13" s="9" t="s">
        <v>46</v>
      </c>
      <c r="F13" s="9" t="s">
        <v>47</v>
      </c>
    </row>
    <row r="14" spans="1:12" ht="18" customHeight="1" x14ac:dyDescent="0.25">
      <c r="A14" s="10" t="s">
        <v>48</v>
      </c>
      <c r="B14" s="10" t="s">
        <v>49</v>
      </c>
      <c r="C14" s="10" t="s">
        <v>50</v>
      </c>
      <c r="D14" s="10" t="s">
        <v>51</v>
      </c>
      <c r="E14" s="10" t="s">
        <v>52</v>
      </c>
      <c r="F14" s="10" t="s">
        <v>53</v>
      </c>
    </row>
    <row r="15" spans="1:12" ht="18" customHeight="1" x14ac:dyDescent="0.25">
      <c r="A15" s="11" t="s">
        <v>54</v>
      </c>
      <c r="B15" s="11" t="s">
        <v>55</v>
      </c>
      <c r="C15" s="11" t="s">
        <v>56</v>
      </c>
      <c r="D15" s="11" t="s">
        <v>57</v>
      </c>
      <c r="E15" s="11" t="s">
        <v>58</v>
      </c>
      <c r="F15" s="11" t="s">
        <v>59</v>
      </c>
    </row>
    <row r="16" spans="1:12" ht="18" customHeight="1" x14ac:dyDescent="0.25">
      <c r="A16" s="12" t="s">
        <v>60</v>
      </c>
      <c r="B16" s="12" t="s">
        <v>61</v>
      </c>
      <c r="C16" s="12" t="s">
        <v>62</v>
      </c>
      <c r="D16" s="12" t="s">
        <v>63</v>
      </c>
      <c r="E16" s="12" t="s">
        <v>64</v>
      </c>
      <c r="F16" s="12" t="s">
        <v>65</v>
      </c>
    </row>
    <row r="18" spans="1:12" ht="24" customHeight="1" x14ac:dyDescent="0.25">
      <c r="A18" s="5" t="s">
        <v>66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25.5" x14ac:dyDescent="0.25">
      <c r="A19" s="8" t="s">
        <v>36</v>
      </c>
      <c r="B19" s="8" t="s">
        <v>67</v>
      </c>
      <c r="C19" s="8" t="s">
        <v>68</v>
      </c>
      <c r="D19" s="8" t="s">
        <v>69</v>
      </c>
      <c r="E19" s="8" t="s">
        <v>70</v>
      </c>
      <c r="F19" s="8" t="s">
        <v>71</v>
      </c>
      <c r="G19" s="8" t="s">
        <v>72</v>
      </c>
    </row>
    <row r="20" spans="1:12" ht="19.5" customHeight="1" x14ac:dyDescent="0.25">
      <c r="A20" s="9" t="s">
        <v>73</v>
      </c>
      <c r="B20" s="9" t="s">
        <v>74</v>
      </c>
      <c r="C20" s="9" t="s">
        <v>75</v>
      </c>
      <c r="D20" s="9" t="s">
        <v>76</v>
      </c>
      <c r="E20" s="9" t="s">
        <v>77</v>
      </c>
      <c r="F20" s="9" t="s">
        <v>78</v>
      </c>
      <c r="G20" s="13" t="s">
        <v>79</v>
      </c>
    </row>
    <row r="21" spans="1:12" ht="19.5" customHeight="1" x14ac:dyDescent="0.25">
      <c r="A21" s="10" t="s">
        <v>80</v>
      </c>
      <c r="B21" s="10" t="s">
        <v>81</v>
      </c>
      <c r="C21" s="10" t="s">
        <v>82</v>
      </c>
      <c r="D21" s="10" t="s">
        <v>83</v>
      </c>
      <c r="E21" s="10" t="s">
        <v>84</v>
      </c>
      <c r="F21" s="10" t="s">
        <v>85</v>
      </c>
      <c r="G21" s="14" t="s">
        <v>86</v>
      </c>
    </row>
    <row r="22" spans="1:12" ht="19.5" customHeight="1" x14ac:dyDescent="0.25">
      <c r="A22" s="9" t="s">
        <v>87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92</v>
      </c>
      <c r="G22" s="13" t="s">
        <v>93</v>
      </c>
    </row>
    <row r="23" spans="1:12" ht="19.5" customHeight="1" x14ac:dyDescent="0.25">
      <c r="A23" s="10" t="s">
        <v>94</v>
      </c>
      <c r="B23" s="10" t="s">
        <v>95</v>
      </c>
      <c r="C23" s="10" t="s">
        <v>96</v>
      </c>
      <c r="D23" s="10" t="s">
        <v>97</v>
      </c>
      <c r="E23" s="10" t="s">
        <v>98</v>
      </c>
      <c r="F23" s="10" t="s">
        <v>99</v>
      </c>
      <c r="G23" s="14" t="s">
        <v>100</v>
      </c>
    </row>
    <row r="24" spans="1:12" ht="19.5" customHeight="1" x14ac:dyDescent="0.25">
      <c r="A24" s="9" t="s">
        <v>101</v>
      </c>
      <c r="B24" s="9" t="s">
        <v>102</v>
      </c>
      <c r="C24" s="9" t="s">
        <v>103</v>
      </c>
      <c r="D24" s="9" t="s">
        <v>104</v>
      </c>
      <c r="E24" s="9" t="s">
        <v>105</v>
      </c>
      <c r="F24" s="9" t="s">
        <v>106</v>
      </c>
      <c r="G24" s="13" t="s">
        <v>107</v>
      </c>
    </row>
  </sheetData>
  <mergeCells count="5">
    <mergeCell ref="A1:L1"/>
    <mergeCell ref="A2:L2"/>
    <mergeCell ref="A4:L4"/>
    <mergeCell ref="A11:L11"/>
    <mergeCell ref="A18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showGridLines="0" zoomScaleNormal="100" workbookViewId="0">
      <selection activeCell="I31" sqref="I31"/>
    </sheetView>
  </sheetViews>
  <sheetFormatPr baseColWidth="10" defaultColWidth="8.7109375" defaultRowHeight="15" x14ac:dyDescent="0.25"/>
  <cols>
    <col min="1" max="1" width="10" customWidth="1"/>
    <col min="2" max="3" width="22" customWidth="1"/>
    <col min="4" max="4" width="14" customWidth="1"/>
    <col min="5" max="6" width="16" customWidth="1"/>
    <col min="7" max="7" width="24" customWidth="1"/>
    <col min="8" max="8" width="12" customWidth="1"/>
  </cols>
  <sheetData>
    <row r="1" spans="1:8" ht="30" customHeight="1" x14ac:dyDescent="0.25">
      <c r="A1" s="3" t="s">
        <v>108</v>
      </c>
      <c r="B1" s="3"/>
      <c r="C1" s="3"/>
      <c r="D1" s="3"/>
      <c r="E1" s="3"/>
      <c r="F1" s="3"/>
      <c r="G1" s="3"/>
      <c r="H1" s="3"/>
    </row>
    <row r="3" spans="1:8" ht="21.75" customHeight="1" x14ac:dyDescent="0.25">
      <c r="A3" s="2" t="s">
        <v>109</v>
      </c>
      <c r="B3" s="2"/>
      <c r="C3" s="2"/>
      <c r="D3" s="2"/>
      <c r="E3" s="2"/>
      <c r="F3" s="2"/>
      <c r="G3" s="2"/>
      <c r="H3" s="2"/>
    </row>
    <row r="4" spans="1:8" ht="38.25" x14ac:dyDescent="0.25">
      <c r="A4" s="8" t="s">
        <v>110</v>
      </c>
      <c r="B4" s="8" t="s">
        <v>111</v>
      </c>
      <c r="C4" s="8" t="s">
        <v>112</v>
      </c>
      <c r="D4" s="8" t="s">
        <v>113</v>
      </c>
      <c r="E4" s="8" t="s">
        <v>114</v>
      </c>
      <c r="F4" s="8" t="s">
        <v>115</v>
      </c>
      <c r="G4" s="8" t="s">
        <v>116</v>
      </c>
      <c r="H4" s="8" t="s">
        <v>117</v>
      </c>
    </row>
    <row r="5" spans="1:8" ht="18" customHeight="1" x14ac:dyDescent="0.25">
      <c r="A5" s="9" t="s">
        <v>118</v>
      </c>
      <c r="B5" s="9">
        <v>450</v>
      </c>
      <c r="C5" s="9">
        <v>67</v>
      </c>
      <c r="D5" s="9">
        <v>14.9</v>
      </c>
      <c r="E5" s="9">
        <v>89</v>
      </c>
      <c r="F5" s="9">
        <v>19.8</v>
      </c>
      <c r="G5" s="9">
        <v>52</v>
      </c>
      <c r="H5" s="9">
        <v>11.6</v>
      </c>
    </row>
    <row r="6" spans="1:8" ht="18" customHeight="1" x14ac:dyDescent="0.25">
      <c r="A6" s="10" t="s">
        <v>119</v>
      </c>
      <c r="B6" s="10">
        <v>465</v>
      </c>
      <c r="C6" s="10">
        <v>70</v>
      </c>
      <c r="D6" s="10">
        <v>15.1</v>
      </c>
      <c r="E6" s="10">
        <v>92</v>
      </c>
      <c r="F6" s="10">
        <v>19.8</v>
      </c>
      <c r="G6" s="10">
        <v>54</v>
      </c>
      <c r="H6" s="10">
        <v>11.6</v>
      </c>
    </row>
    <row r="7" spans="1:8" ht="18" customHeight="1" x14ac:dyDescent="0.25">
      <c r="A7" s="9" t="s">
        <v>120</v>
      </c>
      <c r="B7" s="9">
        <v>480</v>
      </c>
      <c r="C7" s="9">
        <v>73</v>
      </c>
      <c r="D7" s="9">
        <v>15.2</v>
      </c>
      <c r="E7" s="9">
        <v>96</v>
      </c>
      <c r="F7" s="9">
        <v>20</v>
      </c>
      <c r="G7" s="9">
        <v>56</v>
      </c>
      <c r="H7" s="9">
        <v>11.7</v>
      </c>
    </row>
    <row r="8" spans="1:8" ht="18" customHeight="1" x14ac:dyDescent="0.25">
      <c r="A8" s="10" t="s">
        <v>121</v>
      </c>
      <c r="B8" s="10">
        <v>500</v>
      </c>
      <c r="C8" s="10">
        <v>78</v>
      </c>
      <c r="D8" s="10">
        <v>15.6</v>
      </c>
      <c r="E8" s="10">
        <v>102</v>
      </c>
      <c r="F8" s="10">
        <v>20.399999999999999</v>
      </c>
      <c r="G8" s="10">
        <v>58</v>
      </c>
      <c r="H8" s="10">
        <v>11.6</v>
      </c>
    </row>
    <row r="9" spans="1:8" ht="18" customHeight="1" x14ac:dyDescent="0.25">
      <c r="A9" s="9" t="s">
        <v>122</v>
      </c>
      <c r="B9" s="9">
        <v>520</v>
      </c>
      <c r="C9" s="9">
        <v>82</v>
      </c>
      <c r="D9" s="9">
        <v>15.8</v>
      </c>
      <c r="E9" s="9">
        <v>108</v>
      </c>
      <c r="F9" s="9">
        <v>20.8</v>
      </c>
      <c r="G9" s="9">
        <v>60</v>
      </c>
      <c r="H9" s="9">
        <v>11.5</v>
      </c>
    </row>
    <row r="10" spans="1:8" ht="18" customHeight="1" x14ac:dyDescent="0.25">
      <c r="A10" s="10" t="s">
        <v>123</v>
      </c>
      <c r="B10" s="10">
        <v>540</v>
      </c>
      <c r="C10" s="10">
        <v>87</v>
      </c>
      <c r="D10" s="10">
        <v>16.100000000000001</v>
      </c>
      <c r="E10" s="10">
        <v>114</v>
      </c>
      <c r="F10" s="10">
        <v>21.1</v>
      </c>
      <c r="G10" s="10">
        <v>63</v>
      </c>
      <c r="H10" s="10">
        <v>11.7</v>
      </c>
    </row>
    <row r="35" spans="1:6" ht="21.75" customHeight="1" x14ac:dyDescent="0.25">
      <c r="A35" s="1" t="s">
        <v>124</v>
      </c>
      <c r="B35" s="1"/>
      <c r="C35" s="1"/>
      <c r="D35" s="1"/>
      <c r="E35" s="1"/>
      <c r="F35" s="1"/>
    </row>
    <row r="36" spans="1:6" ht="25.5" x14ac:dyDescent="0.25">
      <c r="A36" s="8" t="s">
        <v>110</v>
      </c>
      <c r="B36" s="8" t="s">
        <v>125</v>
      </c>
      <c r="C36" s="8" t="s">
        <v>126</v>
      </c>
      <c r="D36" s="8" t="s">
        <v>127</v>
      </c>
      <c r="E36" s="8" t="s">
        <v>128</v>
      </c>
      <c r="F36" s="8" t="s">
        <v>129</v>
      </c>
    </row>
    <row r="37" spans="1:6" ht="15" customHeight="1" x14ac:dyDescent="0.25">
      <c r="A37" s="10" t="s">
        <v>130</v>
      </c>
      <c r="B37" s="10">
        <v>1140</v>
      </c>
      <c r="C37" s="10">
        <v>1200</v>
      </c>
      <c r="D37" s="10">
        <v>60</v>
      </c>
      <c r="E37" s="10">
        <v>1083</v>
      </c>
      <c r="F37" s="10">
        <v>1140</v>
      </c>
    </row>
    <row r="38" spans="1:6" ht="15" customHeight="1" x14ac:dyDescent="0.25">
      <c r="A38" s="9" t="s">
        <v>131</v>
      </c>
      <c r="B38" s="9">
        <v>1083</v>
      </c>
      <c r="C38" s="9">
        <v>1200</v>
      </c>
      <c r="D38" s="9">
        <v>117</v>
      </c>
      <c r="E38" s="9">
        <v>1028.8</v>
      </c>
      <c r="F38" s="9">
        <v>1140</v>
      </c>
    </row>
    <row r="39" spans="1:6" ht="15" customHeight="1" x14ac:dyDescent="0.25">
      <c r="A39" s="10" t="s">
        <v>132</v>
      </c>
      <c r="B39" s="10">
        <v>1028</v>
      </c>
      <c r="C39" s="10">
        <v>1200</v>
      </c>
      <c r="D39" s="10">
        <v>172</v>
      </c>
      <c r="E39" s="10">
        <v>976.6</v>
      </c>
      <c r="F39" s="10">
        <v>1140</v>
      </c>
    </row>
    <row r="40" spans="1:6" ht="15" customHeight="1" x14ac:dyDescent="0.25">
      <c r="A40" s="9" t="s">
        <v>133</v>
      </c>
      <c r="B40" s="9">
        <v>976</v>
      </c>
      <c r="C40" s="9">
        <v>1200</v>
      </c>
      <c r="D40" s="9">
        <v>224</v>
      </c>
      <c r="E40" s="9">
        <v>927.2</v>
      </c>
      <c r="F40" s="9">
        <v>1140</v>
      </c>
    </row>
    <row r="41" spans="1:6" ht="15" customHeight="1" x14ac:dyDescent="0.25">
      <c r="A41" s="10" t="s">
        <v>134</v>
      </c>
      <c r="B41" s="10">
        <v>927</v>
      </c>
      <c r="C41" s="10">
        <v>1200</v>
      </c>
      <c r="D41" s="10">
        <v>273</v>
      </c>
      <c r="E41" s="10">
        <v>880.6</v>
      </c>
      <c r="F41" s="10">
        <v>1140</v>
      </c>
    </row>
    <row r="42" spans="1:6" ht="15" customHeight="1" x14ac:dyDescent="0.25">
      <c r="A42" s="9" t="s">
        <v>135</v>
      </c>
      <c r="B42" s="9">
        <v>880</v>
      </c>
      <c r="C42" s="9">
        <v>1200</v>
      </c>
      <c r="D42" s="9">
        <v>320</v>
      </c>
      <c r="E42" s="9">
        <v>836</v>
      </c>
      <c r="F42" s="9">
        <v>1140</v>
      </c>
    </row>
    <row r="43" spans="1:6" ht="15" customHeight="1" x14ac:dyDescent="0.25">
      <c r="A43" s="10" t="s">
        <v>136</v>
      </c>
      <c r="B43" s="10">
        <v>836</v>
      </c>
      <c r="C43" s="10">
        <v>1200</v>
      </c>
      <c r="D43" s="10">
        <v>364</v>
      </c>
      <c r="E43" s="10">
        <v>794.2</v>
      </c>
      <c r="F43" s="10">
        <v>1140</v>
      </c>
    </row>
    <row r="44" spans="1:6" ht="15" customHeight="1" x14ac:dyDescent="0.25">
      <c r="A44" s="9" t="s">
        <v>137</v>
      </c>
      <c r="B44" s="9">
        <v>794</v>
      </c>
      <c r="C44" s="9">
        <v>1200</v>
      </c>
      <c r="D44" s="9">
        <v>406</v>
      </c>
      <c r="E44" s="9">
        <v>754.3</v>
      </c>
      <c r="F44" s="9">
        <v>1140</v>
      </c>
    </row>
    <row r="45" spans="1:6" ht="15" customHeight="1" x14ac:dyDescent="0.25">
      <c r="A45" s="10" t="s">
        <v>138</v>
      </c>
      <c r="B45" s="10">
        <v>754</v>
      </c>
      <c r="C45" s="10">
        <v>1200</v>
      </c>
      <c r="D45" s="10">
        <v>446</v>
      </c>
      <c r="E45" s="10">
        <v>716.3</v>
      </c>
      <c r="F45" s="10">
        <v>1140</v>
      </c>
    </row>
    <row r="46" spans="1:6" ht="15" customHeight="1" x14ac:dyDescent="0.25">
      <c r="A46" s="9" t="s">
        <v>139</v>
      </c>
      <c r="B46" s="9">
        <v>716</v>
      </c>
      <c r="C46" s="9">
        <v>1200</v>
      </c>
      <c r="D46" s="9">
        <v>484</v>
      </c>
      <c r="E46" s="9">
        <v>680.2</v>
      </c>
      <c r="F46" s="9">
        <v>1140</v>
      </c>
    </row>
    <row r="47" spans="1:6" ht="15" customHeight="1" x14ac:dyDescent="0.25">
      <c r="A47" s="10" t="s">
        <v>140</v>
      </c>
      <c r="B47" s="10">
        <v>680</v>
      </c>
      <c r="C47" s="10">
        <v>1200</v>
      </c>
      <c r="D47" s="10">
        <v>520</v>
      </c>
      <c r="E47" s="10">
        <v>646</v>
      </c>
      <c r="F47" s="10">
        <v>1140</v>
      </c>
    </row>
    <row r="48" spans="1:6" ht="15" customHeight="1" x14ac:dyDescent="0.25">
      <c r="A48" s="9" t="s">
        <v>141</v>
      </c>
      <c r="B48" s="9">
        <v>646</v>
      </c>
      <c r="C48" s="9">
        <v>1200</v>
      </c>
      <c r="D48" s="9">
        <v>554</v>
      </c>
      <c r="E48" s="9">
        <v>613.70000000000005</v>
      </c>
      <c r="F48" s="9">
        <v>1140</v>
      </c>
    </row>
    <row r="49" spans="1:6" ht="15" customHeight="1" x14ac:dyDescent="0.25">
      <c r="A49" s="10" t="s">
        <v>142</v>
      </c>
      <c r="B49" s="10">
        <v>613</v>
      </c>
      <c r="C49" s="10">
        <v>1200</v>
      </c>
      <c r="D49" s="10">
        <v>587</v>
      </c>
      <c r="E49" s="10">
        <v>582.4</v>
      </c>
      <c r="F49" s="10">
        <v>1140</v>
      </c>
    </row>
    <row r="50" spans="1:6" ht="15" customHeight="1" x14ac:dyDescent="0.25">
      <c r="A50" s="9" t="s">
        <v>143</v>
      </c>
      <c r="B50" s="9">
        <v>582</v>
      </c>
      <c r="C50" s="9">
        <v>1200</v>
      </c>
      <c r="D50" s="9">
        <v>618</v>
      </c>
      <c r="E50" s="9">
        <v>552.9</v>
      </c>
      <c r="F50" s="9">
        <v>1140</v>
      </c>
    </row>
    <row r="51" spans="1:6" ht="15" customHeight="1" x14ac:dyDescent="0.25">
      <c r="A51" s="10" t="s">
        <v>144</v>
      </c>
      <c r="B51" s="10">
        <v>552</v>
      </c>
      <c r="C51" s="10">
        <v>1200</v>
      </c>
      <c r="D51" s="10">
        <v>648</v>
      </c>
      <c r="E51" s="10">
        <v>524.4</v>
      </c>
      <c r="F51" s="10">
        <v>1140</v>
      </c>
    </row>
    <row r="52" spans="1:6" ht="15" customHeight="1" x14ac:dyDescent="0.25">
      <c r="A52" s="9" t="s">
        <v>145</v>
      </c>
      <c r="B52" s="9">
        <v>524</v>
      </c>
      <c r="C52" s="9">
        <v>1200</v>
      </c>
      <c r="D52" s="9">
        <v>676</v>
      </c>
      <c r="E52" s="9">
        <v>497.8</v>
      </c>
      <c r="F52" s="9">
        <v>1140</v>
      </c>
    </row>
    <row r="53" spans="1:6" ht="15" customHeight="1" x14ac:dyDescent="0.25">
      <c r="A53" s="10" t="s">
        <v>146</v>
      </c>
      <c r="B53" s="10">
        <v>497</v>
      </c>
      <c r="C53" s="10">
        <v>1200</v>
      </c>
      <c r="D53" s="10">
        <v>703</v>
      </c>
      <c r="E53" s="10">
        <v>472.1</v>
      </c>
      <c r="F53" s="10">
        <v>1140</v>
      </c>
    </row>
    <row r="54" spans="1:6" ht="15" customHeight="1" x14ac:dyDescent="0.25">
      <c r="A54" s="9" t="s">
        <v>147</v>
      </c>
      <c r="B54" s="9">
        <v>472</v>
      </c>
      <c r="C54" s="9">
        <v>1200</v>
      </c>
      <c r="D54" s="9">
        <v>728</v>
      </c>
      <c r="E54" s="9">
        <v>448.4</v>
      </c>
      <c r="F54" s="9">
        <v>1140</v>
      </c>
    </row>
    <row r="55" spans="1:6" ht="15" customHeight="1" x14ac:dyDescent="0.25">
      <c r="A55" s="10" t="s">
        <v>148</v>
      </c>
      <c r="B55" s="10">
        <v>448</v>
      </c>
      <c r="C55" s="10">
        <v>1200</v>
      </c>
      <c r="D55" s="10">
        <v>752</v>
      </c>
      <c r="E55" s="10">
        <v>425.6</v>
      </c>
      <c r="F55" s="10">
        <v>1140</v>
      </c>
    </row>
    <row r="56" spans="1:6" ht="15" customHeight="1" x14ac:dyDescent="0.25">
      <c r="A56" s="9" t="s">
        <v>149</v>
      </c>
      <c r="B56" s="9">
        <v>425</v>
      </c>
      <c r="C56" s="9">
        <v>1200</v>
      </c>
      <c r="D56" s="9">
        <v>775</v>
      </c>
      <c r="E56" s="9">
        <v>403.8</v>
      </c>
      <c r="F56" s="9">
        <v>1140</v>
      </c>
    </row>
    <row r="57" spans="1:6" ht="15" customHeight="1" x14ac:dyDescent="0.25">
      <c r="A57" s="10" t="s">
        <v>150</v>
      </c>
      <c r="B57" s="10">
        <v>403</v>
      </c>
      <c r="C57" s="10">
        <v>1200</v>
      </c>
      <c r="D57" s="10">
        <v>797</v>
      </c>
      <c r="E57" s="10">
        <v>382.8</v>
      </c>
      <c r="F57" s="10">
        <v>1140</v>
      </c>
    </row>
    <row r="58" spans="1:6" ht="15" customHeight="1" x14ac:dyDescent="0.25">
      <c r="A58" s="9" t="s">
        <v>151</v>
      </c>
      <c r="B58" s="9">
        <v>382</v>
      </c>
      <c r="C58" s="9">
        <v>1200</v>
      </c>
      <c r="D58" s="9">
        <v>818</v>
      </c>
      <c r="E58" s="9">
        <v>362.9</v>
      </c>
      <c r="F58" s="9">
        <v>1140</v>
      </c>
    </row>
    <row r="59" spans="1:6" ht="15" customHeight="1" x14ac:dyDescent="0.25">
      <c r="A59" s="10" t="s">
        <v>152</v>
      </c>
      <c r="B59" s="10">
        <v>362</v>
      </c>
      <c r="C59" s="10">
        <v>1200</v>
      </c>
      <c r="D59" s="10">
        <v>838</v>
      </c>
      <c r="E59" s="10">
        <v>343.9</v>
      </c>
      <c r="F59" s="10">
        <v>1140</v>
      </c>
    </row>
    <row r="60" spans="1:6" ht="15" customHeight="1" x14ac:dyDescent="0.25">
      <c r="A60" s="9" t="s">
        <v>153</v>
      </c>
      <c r="B60" s="9">
        <v>343</v>
      </c>
      <c r="C60" s="9">
        <v>1200</v>
      </c>
      <c r="D60" s="9">
        <v>857</v>
      </c>
      <c r="E60" s="9">
        <v>325.8</v>
      </c>
      <c r="F60" s="9">
        <v>1140</v>
      </c>
    </row>
  </sheetData>
  <mergeCells count="3">
    <mergeCell ref="A1:H1"/>
    <mergeCell ref="A3:H3"/>
    <mergeCell ref="A35:F3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showGridLines="0" tabSelected="1" zoomScaleNormal="100" workbookViewId="0">
      <selection sqref="A1:H1"/>
    </sheetView>
  </sheetViews>
  <sheetFormatPr baseColWidth="10" defaultColWidth="8.7109375" defaultRowHeight="15" x14ac:dyDescent="0.25"/>
  <cols>
    <col min="1" max="1" width="5" customWidth="1"/>
    <col min="2" max="2" width="38" customWidth="1"/>
    <col min="3" max="3" width="30" customWidth="1"/>
    <col min="4" max="4" width="18" customWidth="1"/>
    <col min="5" max="7" width="12" customWidth="1"/>
    <col min="8" max="8" width="14" customWidth="1"/>
  </cols>
  <sheetData>
    <row r="1" spans="1:8" ht="30" customHeight="1" x14ac:dyDescent="0.25">
      <c r="A1" s="3" t="s">
        <v>154</v>
      </c>
      <c r="B1" s="3"/>
      <c r="C1" s="3"/>
      <c r="D1" s="3"/>
      <c r="E1" s="3"/>
      <c r="F1" s="3"/>
      <c r="G1" s="3"/>
      <c r="H1" s="3"/>
    </row>
    <row r="2" spans="1:8" x14ac:dyDescent="0.25">
      <c r="A2" s="8" t="s">
        <v>155</v>
      </c>
      <c r="B2" s="8" t="s">
        <v>156</v>
      </c>
      <c r="C2" s="8" t="s">
        <v>157</v>
      </c>
      <c r="D2" s="8" t="s">
        <v>158</v>
      </c>
      <c r="E2" s="8" t="s">
        <v>159</v>
      </c>
      <c r="F2" s="8" t="s">
        <v>160</v>
      </c>
      <c r="G2" s="8" t="s">
        <v>161</v>
      </c>
      <c r="H2" s="8" t="s">
        <v>9</v>
      </c>
    </row>
    <row r="3" spans="1:8" ht="19.5" customHeight="1" x14ac:dyDescent="0.25">
      <c r="A3" s="15">
        <v>1</v>
      </c>
      <c r="B3" s="16" t="s">
        <v>162</v>
      </c>
      <c r="C3" s="15" t="s">
        <v>163</v>
      </c>
      <c r="D3" s="15" t="s">
        <v>164</v>
      </c>
      <c r="E3" s="15" t="s">
        <v>165</v>
      </c>
      <c r="F3" s="15" t="s">
        <v>166</v>
      </c>
      <c r="G3" s="15">
        <v>100</v>
      </c>
      <c r="H3" s="15" t="s">
        <v>167</v>
      </c>
    </row>
    <row r="4" spans="1:8" ht="19.5" customHeight="1" x14ac:dyDescent="0.25">
      <c r="A4" s="15">
        <v>2</v>
      </c>
      <c r="B4" s="16" t="s">
        <v>168</v>
      </c>
      <c r="C4" s="15" t="s">
        <v>169</v>
      </c>
      <c r="D4" s="15" t="s">
        <v>170</v>
      </c>
      <c r="E4" s="15" t="s">
        <v>171</v>
      </c>
      <c r="F4" s="15" t="s">
        <v>172</v>
      </c>
      <c r="G4" s="15">
        <v>100</v>
      </c>
      <c r="H4" s="15" t="s">
        <v>167</v>
      </c>
    </row>
    <row r="5" spans="1:8" ht="19.5" customHeight="1" x14ac:dyDescent="0.25">
      <c r="A5" s="15">
        <v>3</v>
      </c>
      <c r="B5" s="16" t="s">
        <v>173</v>
      </c>
      <c r="C5" s="15" t="s">
        <v>174</v>
      </c>
      <c r="D5" s="15" t="s">
        <v>175</v>
      </c>
      <c r="E5" s="15" t="s">
        <v>176</v>
      </c>
      <c r="F5" s="15" t="s">
        <v>177</v>
      </c>
      <c r="G5" s="15">
        <v>100</v>
      </c>
      <c r="H5" s="15" t="s">
        <v>167</v>
      </c>
    </row>
    <row r="6" spans="1:8" ht="19.5" customHeight="1" x14ac:dyDescent="0.25">
      <c r="A6" s="15">
        <v>4</v>
      </c>
      <c r="B6" s="16" t="s">
        <v>178</v>
      </c>
      <c r="C6" s="15" t="s">
        <v>179</v>
      </c>
      <c r="D6" s="15" t="s">
        <v>180</v>
      </c>
      <c r="E6" s="15" t="s">
        <v>181</v>
      </c>
      <c r="F6" s="15" t="s">
        <v>182</v>
      </c>
      <c r="G6" s="15">
        <v>100</v>
      </c>
      <c r="H6" s="15" t="s">
        <v>167</v>
      </c>
    </row>
    <row r="7" spans="1:8" ht="19.5" customHeight="1" x14ac:dyDescent="0.25">
      <c r="A7" s="15">
        <v>5</v>
      </c>
      <c r="B7" s="16" t="s">
        <v>183</v>
      </c>
      <c r="C7" s="15" t="s">
        <v>184</v>
      </c>
      <c r="D7" s="15" t="s">
        <v>170</v>
      </c>
      <c r="E7" s="15" t="s">
        <v>185</v>
      </c>
      <c r="F7" s="15" t="s">
        <v>186</v>
      </c>
      <c r="G7" s="15">
        <v>100</v>
      </c>
      <c r="H7" s="15" t="s">
        <v>167</v>
      </c>
    </row>
    <row r="8" spans="1:8" ht="19.5" customHeight="1" x14ac:dyDescent="0.25">
      <c r="A8" s="15">
        <v>6</v>
      </c>
      <c r="B8" s="16" t="s">
        <v>187</v>
      </c>
      <c r="C8" s="15" t="s">
        <v>188</v>
      </c>
      <c r="D8" s="15" t="s">
        <v>175</v>
      </c>
      <c r="E8" s="15" t="s">
        <v>189</v>
      </c>
      <c r="F8" s="15" t="s">
        <v>190</v>
      </c>
      <c r="G8" s="15">
        <v>100</v>
      </c>
      <c r="H8" s="15" t="s">
        <v>167</v>
      </c>
    </row>
    <row r="9" spans="1:8" ht="19.5" customHeight="1" x14ac:dyDescent="0.25">
      <c r="A9" s="15">
        <v>7</v>
      </c>
      <c r="B9" s="16" t="s">
        <v>191</v>
      </c>
      <c r="C9" s="15" t="s">
        <v>192</v>
      </c>
      <c r="D9" s="15" t="s">
        <v>180</v>
      </c>
      <c r="E9" s="15" t="s">
        <v>193</v>
      </c>
      <c r="F9" s="15" t="s">
        <v>194</v>
      </c>
      <c r="G9" s="15">
        <v>100</v>
      </c>
      <c r="H9" s="15" t="s">
        <v>167</v>
      </c>
    </row>
    <row r="10" spans="1:8" ht="19.5" customHeight="1" x14ac:dyDescent="0.25">
      <c r="A10" s="15">
        <v>8</v>
      </c>
      <c r="B10" s="16" t="s">
        <v>195</v>
      </c>
      <c r="C10" s="15" t="s">
        <v>196</v>
      </c>
      <c r="D10" s="15" t="s">
        <v>170</v>
      </c>
      <c r="E10" s="15" t="s">
        <v>197</v>
      </c>
      <c r="F10" s="15" t="s">
        <v>198</v>
      </c>
      <c r="G10" s="15">
        <v>100</v>
      </c>
      <c r="H10" s="15" t="s">
        <v>167</v>
      </c>
    </row>
    <row r="11" spans="1:8" ht="19.5" customHeight="1" x14ac:dyDescent="0.25">
      <c r="A11" s="12">
        <v>9</v>
      </c>
      <c r="B11" s="17" t="s">
        <v>199</v>
      </c>
      <c r="C11" s="12" t="s">
        <v>200</v>
      </c>
      <c r="D11" s="12" t="s">
        <v>180</v>
      </c>
      <c r="E11" s="12" t="s">
        <v>201</v>
      </c>
      <c r="F11" s="12" t="s">
        <v>202</v>
      </c>
      <c r="G11" s="12">
        <v>90</v>
      </c>
      <c r="H11" s="12" t="s">
        <v>203</v>
      </c>
    </row>
    <row r="12" spans="1:8" ht="19.5" customHeight="1" x14ac:dyDescent="0.25">
      <c r="A12" s="12">
        <v>10</v>
      </c>
      <c r="B12" s="17" t="s">
        <v>204</v>
      </c>
      <c r="C12" s="12" t="s">
        <v>205</v>
      </c>
      <c r="D12" s="12" t="s">
        <v>206</v>
      </c>
      <c r="E12" s="12" t="s">
        <v>207</v>
      </c>
      <c r="F12" s="12" t="s">
        <v>208</v>
      </c>
      <c r="G12" s="12">
        <v>70</v>
      </c>
      <c r="H12" s="12" t="s">
        <v>203</v>
      </c>
    </row>
    <row r="13" spans="1:8" ht="19.5" customHeight="1" x14ac:dyDescent="0.25">
      <c r="A13" s="12">
        <v>11</v>
      </c>
      <c r="B13" s="17" t="s">
        <v>209</v>
      </c>
      <c r="C13" s="12" t="s">
        <v>210</v>
      </c>
      <c r="D13" s="12" t="s">
        <v>211</v>
      </c>
      <c r="E13" s="12" t="s">
        <v>212</v>
      </c>
      <c r="F13" s="12" t="s">
        <v>213</v>
      </c>
      <c r="G13" s="12">
        <v>85</v>
      </c>
      <c r="H13" s="12" t="s">
        <v>203</v>
      </c>
    </row>
    <row r="14" spans="1:8" ht="19.5" customHeight="1" x14ac:dyDescent="0.25">
      <c r="A14" s="9">
        <v>12</v>
      </c>
      <c r="B14" s="13" t="s">
        <v>214</v>
      </c>
      <c r="C14" s="9" t="s">
        <v>215</v>
      </c>
      <c r="D14" s="9" t="s">
        <v>206</v>
      </c>
      <c r="E14" s="9" t="s">
        <v>216</v>
      </c>
      <c r="F14" s="9" t="s">
        <v>217</v>
      </c>
      <c r="G14" s="9">
        <v>0</v>
      </c>
      <c r="H14" s="9" t="s">
        <v>218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📊 Dashboard Simulación</vt:lpstr>
      <vt:lpstr>📈 Datos Simulación</vt:lpstr>
      <vt:lpstr>📋 Actividades y Avances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Ruben Andres Reyes Cuellar</cp:lastModifiedBy>
  <cp:revision>1</cp:revision>
  <dcterms:created xsi:type="dcterms:W3CDTF">2026-05-06T03:11:29Z</dcterms:created>
  <dcterms:modified xsi:type="dcterms:W3CDTF">2026-05-06T03:17:10Z</dcterms:modified>
  <dc:language>en-US</dc:language>
</cp:coreProperties>
</file>