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rarey\Downloads\Documentos_Proyecto_Integrador\"/>
    </mc:Choice>
  </mc:AlternateContent>
  <xr:revisionPtr revIDLastSave="0" documentId="13_ncr:1_{116008D8-4190-425D-BF53-87BCF4239423}" xr6:coauthVersionLast="47" xr6:coauthVersionMax="47" xr10:uidLastSave="{00000000-0000-0000-0000-000000000000}"/>
  <bookViews>
    <workbookView xWindow="-120" yWindow="-120" windowWidth="29040" windowHeight="15720" tabRatio="500" activeTab="3" xr2:uid="{00000000-000D-0000-FFFF-FFFF00000000}"/>
  </bookViews>
  <sheets>
    <sheet name="📊 Dashboard Ética GDPR" sheetId="1" r:id="rId1"/>
    <sheet name="⚖️ Evaluación de Sesgos" sheetId="2" r:id="rId2"/>
    <sheet name="📜 Código de Ética" sheetId="3" r:id="rId3"/>
    <sheet name="📋 Actividades y Avances" sheetId="4" r:id="rId4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29" i="1" l="1"/>
</calcChain>
</file>

<file path=xl/sharedStrings.xml><?xml version="1.0" encoding="utf-8"?>
<sst xmlns="http://schemas.openxmlformats.org/spreadsheetml/2006/main" count="299" uniqueCount="233">
  <si>
    <t>AXIA DATA — ÉTICA PROFESIONAL | Dashboard GDPR &amp; Cumplimiento</t>
  </si>
  <si>
    <t>Fundación Universitaria San Mateo  •  X Semestre  •  Docente: Angelo Alexander Poveda Gil</t>
  </si>
  <si>
    <t>◆  CUMPLIMIENTO GDPR — 7 PRINCIPIOS  ◆</t>
  </si>
  <si>
    <t>Principio GDPR</t>
  </si>
  <si>
    <t>Artículo</t>
  </si>
  <si>
    <t>Implementación</t>
  </si>
  <si>
    <t>Nivel Cumplimiento</t>
  </si>
  <si>
    <t>Estado</t>
  </si>
  <si>
    <t>Fecha Revisión</t>
  </si>
  <si>
    <t>Licitud y Transparencia</t>
  </si>
  <si>
    <t>Art. 6</t>
  </si>
  <si>
    <t>Portal privacidad + base legal documentada</t>
  </si>
  <si>
    <t>98%</t>
  </si>
  <si>
    <t>✅ Cumplido</t>
  </si>
  <si>
    <t>Jun-2025</t>
  </si>
  <si>
    <t>Limitación de Finalidad</t>
  </si>
  <si>
    <t>Art. 5.1.b</t>
  </si>
  <si>
    <t>Pipeline con propósito declarado + controles técnicos</t>
  </si>
  <si>
    <t>100%</t>
  </si>
  <si>
    <t>Minimización de Datos</t>
  </si>
  <si>
    <t>Art. 5.1.c</t>
  </si>
  <si>
    <t>Inventario activo + eliminación automática</t>
  </si>
  <si>
    <t>95%</t>
  </si>
  <si>
    <t>May-2025</t>
  </si>
  <si>
    <t>Exactitud</t>
  </si>
  <si>
    <t>Art. 5.1.d</t>
  </si>
  <si>
    <t>ETL con validación ≥96% + corrección on-demand</t>
  </si>
  <si>
    <t>96.8%</t>
  </si>
  <si>
    <t>Limitación Conservación</t>
  </si>
  <si>
    <t>Art. 5.1.e</t>
  </si>
  <si>
    <t>Política retención Bronze=5y, Silver=3y, Gold=2y</t>
  </si>
  <si>
    <t>Integridad y Confidencialidad</t>
  </si>
  <si>
    <t>Art. 5.1.f</t>
  </si>
  <si>
    <t>AES-256 + TLS 1.3 + RBAC + logs inmutables</t>
  </si>
  <si>
    <t>99%</t>
  </si>
  <si>
    <t>Responsabilidad Proactiva</t>
  </si>
  <si>
    <t>Art. 5.2</t>
  </si>
  <si>
    <t>DPO designado + Registro Art.30 + DPIA</t>
  </si>
  <si>
    <t>97%</t>
  </si>
  <si>
    <t>◆  DERECHOS DE TITULARES GDPR — ESTADO DE IMPLEMENTACIÓN  ◆</t>
  </si>
  <si>
    <t>Derecho</t>
  </si>
  <si>
    <t>Art. GDPR</t>
  </si>
  <si>
    <t>Plazo</t>
  </si>
  <si>
    <t>Canal</t>
  </si>
  <si>
    <t>Implementación Técnica</t>
  </si>
  <si>
    <t>% Implementado</t>
  </si>
  <si>
    <t>Acceso</t>
  </si>
  <si>
    <t>Art. 15</t>
  </si>
  <si>
    <t>30 días</t>
  </si>
  <si>
    <t>Portal web</t>
  </si>
  <si>
    <t>Descarga JSON/PDF de todos los datos del titular</t>
  </si>
  <si>
    <t>✅</t>
  </si>
  <si>
    <t>Rectificación</t>
  </si>
  <si>
    <t>Art. 16</t>
  </si>
  <si>
    <t>API / Portal</t>
  </si>
  <si>
    <t>API que propaga cambios en cascada por capas</t>
  </si>
  <si>
    <t>Supresión</t>
  </si>
  <si>
    <t>Art. 17</t>
  </si>
  <si>
    <t>Portal / Email</t>
  </si>
  <si>
    <t>Pipeline eliminación Bronze→Silver→Gold→ML</t>
  </si>
  <si>
    <t>Portabilidad</t>
  </si>
  <si>
    <t>Art. 20</t>
  </si>
  <si>
    <t>API</t>
  </si>
  <si>
    <t>Exportación CSV/JSON estándar</t>
  </si>
  <si>
    <t>Oposición</t>
  </si>
  <si>
    <t>Art. 21</t>
  </si>
  <si>
    <t>Inmediato</t>
  </si>
  <si>
    <t>Portal</t>
  </si>
  <si>
    <t>Flag opt-out excluye de todos los pipelines</t>
  </si>
  <si>
    <t>Limitación</t>
  </si>
  <si>
    <t>Art. 18</t>
  </si>
  <si>
    <t>72 horas</t>
  </si>
  <si>
    <t>Email</t>
  </si>
  <si>
    <t>Estado 'congelado': excluido de pipelines activos</t>
  </si>
  <si>
    <t>🔄 99%</t>
  </si>
  <si>
    <t>No decisión automática</t>
  </si>
  <si>
    <t>Art. 22</t>
  </si>
  <si>
    <t>Bajo demanda</t>
  </si>
  <si>
    <t>Revisión humana disponible con SLA 48 hrs</t>
  </si>
  <si>
    <t>90%</t>
  </si>
  <si>
    <t>🔄 Mejora</t>
  </si>
  <si>
    <t>◆  MÉTRICAS DE CUMPLIMIENTO GDPR  ◆</t>
  </si>
  <si>
    <t>Métrica</t>
  </si>
  <si>
    <t>Valor Actual</t>
  </si>
  <si>
    <t>Meta</t>
  </si>
  <si>
    <t>% Cumplimiento GDPR Global</t>
  </si>
  <si>
    <t>97.4%</t>
  </si>
  <si>
    <t>≥ 95%</t>
  </si>
  <si>
    <t>✅ Meta superada</t>
  </si>
  <si>
    <t>Solicitudes Titulares Atendidas / Total</t>
  </si>
  <si>
    <t>23/23</t>
  </si>
  <si>
    <t>✅ 100%</t>
  </si>
  <si>
    <t>Tiempo Medio Respuesta Solicitudes</t>
  </si>
  <si>
    <t>18 días</t>
  </si>
  <si>
    <t>≤ 30 días</t>
  </si>
  <si>
    <t>✅ OK</t>
  </si>
  <si>
    <t>Incidentes de Seguridad (últimos 6 meses)</t>
  </si>
  <si>
    <t>0</t>
  </si>
  <si>
    <t>✅ Sin incidentes</t>
  </si>
  <si>
    <t>DPIA realizadas (nuevos tratamientos)</t>
  </si>
  <si>
    <t>4/4</t>
  </si>
  <si>
    <t>✅ Completas</t>
  </si>
  <si>
    <t>Empleados capacitados GDPR</t>
  </si>
  <si>
    <t>≥ 90%</t>
  </si>
  <si>
    <t>Cobertura Registro Art. 30</t>
  </si>
  <si>
    <t>✅ Completo</t>
  </si>
  <si>
    <t>AXIA DATA — Evaluación y Mitigación de Sesgos Algorítmicos</t>
  </si>
  <si>
    <t>MÉTRICAS DE EQUIDAD ALGORÍTMICA — SEGUIMIENTO MENSUAL</t>
  </si>
  <si>
    <t>Mes</t>
  </si>
  <si>
    <t>Paridad Demográfica (pp diff)</t>
  </si>
  <si>
    <t>Igualdad Oportunidades (pp diff)</t>
  </si>
  <si>
    <t>Calibración Grupos (RMSE)</t>
  </si>
  <si>
    <t>Sesgo Detectado</t>
  </si>
  <si>
    <t>Acción Correctiva</t>
  </si>
  <si>
    <t>Enero</t>
  </si>
  <si>
    <t>Sesgo selección V4</t>
  </si>
  <si>
    <t>SMOTE aplicado</t>
  </si>
  <si>
    <t>🔄 Mitigando</t>
  </si>
  <si>
    <t>Febrero</t>
  </si>
  <si>
    <t>Sesgo confirmación</t>
  </si>
  <si>
    <t>Validación cross-temporal</t>
  </si>
  <si>
    <t>Marzo</t>
  </si>
  <si>
    <t>Sesgo proxy género</t>
  </si>
  <si>
    <t>Feature eliminada</t>
  </si>
  <si>
    <t>✅ Resuelto</t>
  </si>
  <si>
    <t>Abril</t>
  </si>
  <si>
    <t>Sesgo histórico menor</t>
  </si>
  <si>
    <t>Fairness constraint</t>
  </si>
  <si>
    <t>🔄 Monitoreando</t>
  </si>
  <si>
    <t>Mayo</t>
  </si>
  <si>
    <t>Dentro de umbrales</t>
  </si>
  <si>
    <t>Sin acción requerida</t>
  </si>
  <si>
    <t>Junio</t>
  </si>
  <si>
    <t>AXIA DATA — Código de Ética: Seguimiento de Compromisos</t>
  </si>
  <si>
    <t>Art.</t>
  </si>
  <si>
    <t>Principio</t>
  </si>
  <si>
    <t>Compromiso</t>
  </si>
  <si>
    <t>Evidencia</t>
  </si>
  <si>
    <t>Cumplimiento</t>
  </si>
  <si>
    <t>Próxima Revisión</t>
  </si>
  <si>
    <t>Beneficencia</t>
  </si>
  <si>
    <t>Beneficio para personas y organizaciones</t>
  </si>
  <si>
    <t>Impacto medido mensualmente</t>
  </si>
  <si>
    <t>Jul-2025</t>
  </si>
  <si>
    <t>No Maleficencia</t>
  </si>
  <si>
    <t>Identificar y mitigar daños potenciales</t>
  </si>
  <si>
    <t>Registro de riesgos éticos actualizado</t>
  </si>
  <si>
    <t>Autonomía y Consentimiento</t>
  </si>
  <si>
    <t>Consentimiento libre, específico, informado y revocable</t>
  </si>
  <si>
    <t>Portal de consentimiento activo</t>
  </si>
  <si>
    <t>Justicia y No Discriminación</t>
  </si>
  <si>
    <t>Auditoría semestral de equidad algorítmica</t>
  </si>
  <si>
    <t>Informe Abr-2025 completado</t>
  </si>
  <si>
    <t>Oct-2025</t>
  </si>
  <si>
    <t>Transparencia Algorítmica</t>
  </si>
  <si>
    <t>SHAP + LIME en todos los modelos de decisión</t>
  </si>
  <si>
    <t>Módulo explicabilidad en producción</t>
  </si>
  <si>
    <t>Responsabilidad Profesional</t>
  </si>
  <si>
    <t>Cumplimiento Código COPNIA Ley 842/2003</t>
  </si>
  <si>
    <t>Registro de formación ética del equipo</t>
  </si>
  <si>
    <t>Dic-2025</t>
  </si>
  <si>
    <t>Cumplimiento(%)</t>
  </si>
  <si>
    <t>Art.1 Beneficencia</t>
  </si>
  <si>
    <t>Art.2 No Maleficencia</t>
  </si>
  <si>
    <t>Art.3 Autonomía y Consentimiento</t>
  </si>
  <si>
    <t>Art.4 Justicia y No Discriminación</t>
  </si>
  <si>
    <t>Art.5 Transparencia Algorítmica</t>
  </si>
  <si>
    <t>Art.6 Responsabilidad Profesional</t>
  </si>
  <si>
    <t>AXIA DATA — Plan de Actividades — Ética Profesional</t>
  </si>
  <si>
    <t>#</t>
  </si>
  <si>
    <t>Actividad</t>
  </si>
  <si>
    <t>Entregable</t>
  </si>
  <si>
    <t>Responsable</t>
  </si>
  <si>
    <t>F. Inicio</t>
  </si>
  <si>
    <t>F. Fin</t>
  </si>
  <si>
    <t>Avance (%)</t>
  </si>
  <si>
    <t>Análisis marco legal GDPR y Ley 1581</t>
  </si>
  <si>
    <t>Mapa normativo comparado</t>
  </si>
  <si>
    <t>Equipo Ética</t>
  </si>
  <si>
    <t>01/02/2025</t>
  </si>
  <si>
    <t>10/02/2025</t>
  </si>
  <si>
    <t>✅ Completado</t>
  </si>
  <si>
    <t>Redacción Código de Ética (6 artículos)</t>
  </si>
  <si>
    <t>Código de Ética firmado</t>
  </si>
  <si>
    <t>Brayan Prieto</t>
  </si>
  <si>
    <t>11/02/2025</t>
  </si>
  <si>
    <t>20/02/2025</t>
  </si>
  <si>
    <t>Implementación Privacy by Design</t>
  </si>
  <si>
    <t>Checklist de diseño ético</t>
  </si>
  <si>
    <t>Arquitecto</t>
  </si>
  <si>
    <t>21/02/2025</t>
  </si>
  <si>
    <t>10/03/2025</t>
  </si>
  <si>
    <t>Evaluación sesgo Enero-Febrero</t>
  </si>
  <si>
    <t>Informe de sesgo</t>
  </si>
  <si>
    <t>Data Scientist</t>
  </si>
  <si>
    <t>01/03/2025</t>
  </si>
  <si>
    <t>20/03/2025</t>
  </si>
  <si>
    <t>Implementación SHAP en modelos ML</t>
  </si>
  <si>
    <t>Módulo explicabilidad</t>
  </si>
  <si>
    <t>21/03/2025</t>
  </si>
  <si>
    <t>10/04/2025</t>
  </si>
  <si>
    <t>Plan de Gestión de Privacidad</t>
  </si>
  <si>
    <t>Documento Plan GDP</t>
  </si>
  <si>
    <t>11/04/2025</t>
  </si>
  <si>
    <t>30/04/2025</t>
  </si>
  <si>
    <t>Portal de privacidad de titulares</t>
  </si>
  <si>
    <t>Portal web funcional</t>
  </si>
  <si>
    <t>Dev Team</t>
  </si>
  <si>
    <t>01/05/2025</t>
  </si>
  <si>
    <t>20/05/2025</t>
  </si>
  <si>
    <t>Auditoría de equidad algorítmica</t>
  </si>
  <si>
    <t>Informe auditoría Abr-2025</t>
  </si>
  <si>
    <t>21/05/2025</t>
  </si>
  <si>
    <t>31/05/2025</t>
  </si>
  <si>
    <t>Capacitación GDPR al equipo</t>
  </si>
  <si>
    <t>Registro de asistencia + cert.</t>
  </si>
  <si>
    <t>RRHH</t>
  </si>
  <si>
    <t>01/06/2025</t>
  </si>
  <si>
    <t>10/06/2025</t>
  </si>
  <si>
    <t>Evaluación de impacto ético (EIE)</t>
  </si>
  <si>
    <t>Informe EIE 5 stakeholders</t>
  </si>
  <si>
    <t>11/06/2025</t>
  </si>
  <si>
    <t>20/06/2025</t>
  </si>
  <si>
    <t>🔄 En Proceso</t>
  </si>
  <si>
    <t>Documentación final y entregables</t>
  </si>
  <si>
    <t>Documento Word completo</t>
  </si>
  <si>
    <t>21/06/2025</t>
  </si>
  <si>
    <t>30/06/2025</t>
  </si>
  <si>
    <t>Presentación final al docente</t>
  </si>
  <si>
    <t>Slides + demo del portal</t>
  </si>
  <si>
    <t>01/07/2025</t>
  </si>
  <si>
    <t>10/07/2025</t>
  </si>
  <si>
    <t>⏳ Pendiente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</si>
</sst>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1"/>
    </font>
    <font>
      <b/>
      <sz val="14"/>
      <color rgb="FFFFFFFF"/>
      <name val="Arial"/>
      <charset val="1"/>
    </font>
    <font>
      <b/>
      <sz val="10"/>
      <color rgb="FFFFFFFF"/>
      <name val="Arial"/>
      <charset val="1"/>
    </font>
    <font>
      <b/>
      <sz val="12"/>
      <color rgb="FFFFFFFF"/>
      <name val="Arial"/>
      <charset val="1"/>
    </font>
    <font>
      <sz val="10"/>
      <color rgb="FF1A1A1A"/>
      <name val="Arial"/>
      <charset val="1"/>
    </font>
    <font>
      <b/>
      <sz val="13"/>
      <color rgb="FFFFFFFF"/>
      <name val="Arial"/>
      <charset val="1"/>
    </font>
    <font>
      <b/>
      <sz val="11"/>
      <color rgb="FFFFFFFF"/>
      <name val="Arial"/>
      <charset val="1"/>
    </font>
  </fonts>
  <fills count="8">
    <fill>
      <patternFill patternType="none"/>
    </fill>
    <fill>
      <patternFill patternType="gray125"/>
    </fill>
    <fill>
      <patternFill patternType="solid">
        <fgColor rgb="FF8C1F28"/>
        <bgColor rgb="FF993366"/>
      </patternFill>
    </fill>
    <fill>
      <patternFill patternType="solid">
        <fgColor rgb="FFD4820A"/>
        <bgColor rgb="FFFF6600"/>
      </patternFill>
    </fill>
    <fill>
      <patternFill patternType="solid">
        <fgColor rgb="FFF4F4F4"/>
        <bgColor rgb="FFFDF3E3"/>
      </patternFill>
    </fill>
    <fill>
      <patternFill patternType="solid">
        <fgColor rgb="FFFFFFFF"/>
        <bgColor rgb="FFF4F4F4"/>
      </patternFill>
    </fill>
    <fill>
      <patternFill patternType="solid">
        <fgColor rgb="FFE8F5E9"/>
        <bgColor rgb="FFF4F4F4"/>
      </patternFill>
    </fill>
    <fill>
      <patternFill patternType="solid">
        <fgColor rgb="FFFDF3E3"/>
        <bgColor rgb="FFF4F4F4"/>
      </patternFill>
    </fill>
  </fills>
  <borders count="3">
    <border>
      <left/>
      <right/>
      <top/>
      <bottom/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6" fillId="3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center" vertical="center" wrapText="1"/>
    </xf>
    <xf numFmtId="0" fontId="4" fillId="7" borderId="2" xfId="0" applyFont="1" applyFill="1" applyBorder="1" applyAlignment="1">
      <alignment horizontal="center" vertical="center"/>
    </xf>
    <xf numFmtId="0" fontId="4" fillId="7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78787"/>
      <rgbColor rgb="FF9999FF"/>
      <rgbColor rgb="FF993366"/>
      <rgbColor rgb="FFFDF3E3"/>
      <rgbColor rgb="FFE8F5E9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4F4F4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D4820A"/>
      <rgbColor rgb="FFFF6600"/>
      <rgbColor rgb="FF666699"/>
      <rgbColor rgb="FF969696"/>
      <rgbColor rgb="FF003366"/>
      <rgbColor rgb="FF2E7D32"/>
      <rgbColor rgb="FF003300"/>
      <rgbColor rgb="FF333300"/>
      <rgbColor rgb="FF8C1F28"/>
      <rgbColor rgb="FF993366"/>
      <rgbColor rgb="FF333399"/>
      <rgbColor rgb="FF1A1A1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s-MX" sz="1800" b="1" strike="noStrike" spc="-1">
                <a:solidFill>
                  <a:srgbClr val="000000"/>
                </a:solidFill>
                <a:latin typeface="Calibri"/>
              </a:rPr>
              <a:t>Tendencia de Métricas de Equidad (menor = mejor)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'⚖️ Evaluación de Sesgos'!$B$4</c:f>
              <c:strCache>
                <c:ptCount val="1"/>
                <c:pt idx="0">
                  <c:v>Paridad Demográfica (pp diff)</c:v>
                </c:pt>
              </c:strCache>
            </c:strRef>
          </c:tx>
          <c:spPr>
            <a:ln w="28440">
              <a:solidFill>
                <a:srgbClr val="8C1F28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MX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'⚖️ Evaluación de Sesgos'!$A$5:$A$10</c:f>
              <c:strCache>
                <c:ptCount val="6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</c:strCache>
            </c:strRef>
          </c:cat>
          <c:val>
            <c:numRef>
              <c:f>'⚖️ Evaluación de Sesgos'!$B$5:$B$10</c:f>
              <c:numCache>
                <c:formatCode>General</c:formatCode>
                <c:ptCount val="6"/>
                <c:pt idx="0">
                  <c:v>8.1999999999999993</c:v>
                </c:pt>
                <c:pt idx="1">
                  <c:v>6.1</c:v>
                </c:pt>
                <c:pt idx="2">
                  <c:v>4.5</c:v>
                </c:pt>
                <c:pt idx="3">
                  <c:v>3.2</c:v>
                </c:pt>
                <c:pt idx="4">
                  <c:v>2.8</c:v>
                </c:pt>
                <c:pt idx="5">
                  <c:v>2.1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883D-4A1D-A486-E6B655111B4B}"/>
            </c:ext>
          </c:extLst>
        </c:ser>
        <c:ser>
          <c:idx val="1"/>
          <c:order val="1"/>
          <c:tx>
            <c:strRef>
              <c:f>'⚖️ Evaluación de Sesgos'!$C$4</c:f>
              <c:strCache>
                <c:ptCount val="1"/>
                <c:pt idx="0">
                  <c:v>Igualdad Oportunidades (pp diff)</c:v>
                </c:pt>
              </c:strCache>
            </c:strRef>
          </c:tx>
          <c:spPr>
            <a:ln w="28440">
              <a:solidFill>
                <a:srgbClr val="D4820A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MX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'⚖️ Evaluación de Sesgos'!$A$5:$A$10</c:f>
              <c:strCache>
                <c:ptCount val="6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</c:strCache>
            </c:strRef>
          </c:cat>
          <c:val>
            <c:numRef>
              <c:f>'⚖️ Evaluación de Sesgos'!$C$5:$C$10</c:f>
              <c:numCache>
                <c:formatCode>General</c:formatCode>
                <c:ptCount val="6"/>
                <c:pt idx="0">
                  <c:v>10.5</c:v>
                </c:pt>
                <c:pt idx="1">
                  <c:v>8.3000000000000007</c:v>
                </c:pt>
                <c:pt idx="2">
                  <c:v>6.2</c:v>
                </c:pt>
                <c:pt idx="3">
                  <c:v>5.0999999999999996</c:v>
                </c:pt>
                <c:pt idx="4">
                  <c:v>4</c:v>
                </c:pt>
                <c:pt idx="5">
                  <c:v>3.5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883D-4A1D-A486-E6B655111B4B}"/>
            </c:ext>
          </c:extLst>
        </c:ser>
        <c:ser>
          <c:idx val="2"/>
          <c:order val="2"/>
          <c:tx>
            <c:strRef>
              <c:f>'⚖️ Evaluación de Sesgos'!$D$4</c:f>
              <c:strCache>
                <c:ptCount val="1"/>
                <c:pt idx="0">
                  <c:v>Calibración Grupos (RMSE)</c:v>
                </c:pt>
              </c:strCache>
            </c:strRef>
          </c:tx>
          <c:spPr>
            <a:ln w="28440">
              <a:solidFill>
                <a:srgbClr val="2E7D32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MX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'⚖️ Evaluación de Sesgos'!$A$5:$A$10</c:f>
              <c:strCache>
                <c:ptCount val="6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</c:strCache>
            </c:strRef>
          </c:cat>
          <c:val>
            <c:numRef>
              <c:f>'⚖️ Evaluación de Sesgos'!$D$5:$D$10</c:f>
              <c:numCache>
                <c:formatCode>General</c:formatCode>
                <c:ptCount val="6"/>
                <c:pt idx="0">
                  <c:v>0.12</c:v>
                </c:pt>
                <c:pt idx="1">
                  <c:v>0.09</c:v>
                </c:pt>
                <c:pt idx="2">
                  <c:v>7.0000000000000007E-2</c:v>
                </c:pt>
                <c:pt idx="3">
                  <c:v>0.05</c:v>
                </c:pt>
                <c:pt idx="4">
                  <c:v>0.04</c:v>
                </c:pt>
                <c:pt idx="5">
                  <c:v>0.03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883D-4A1D-A486-E6B655111B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26642882"/>
        <c:axId val="70877768"/>
      </c:lineChart>
      <c:catAx>
        <c:axId val="2664288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MX"/>
          </a:p>
        </c:txPr>
        <c:crossAx val="70877768"/>
        <c:crosses val="autoZero"/>
        <c:auto val="1"/>
        <c:lblAlgn val="ctr"/>
        <c:lblOffset val="100"/>
        <c:noMultiLvlLbl val="0"/>
      </c:catAx>
      <c:valAx>
        <c:axId val="7087776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MX"/>
          </a:p>
        </c:txPr>
        <c:crossAx val="2664288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s-MX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s-MX" sz="1800" b="1" strike="noStrike" spc="-1">
                <a:solidFill>
                  <a:srgbClr val="000000"/>
                </a:solidFill>
                <a:latin typeface="Calibri"/>
              </a:rPr>
              <a:t>Cumplimiento por Principio Ético (%)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'📜 Código de Ética'!$B$12</c:f>
              <c:strCache>
                <c:ptCount val="1"/>
                <c:pt idx="0">
                  <c:v>Cumplimiento(%)</c:v>
                </c:pt>
              </c:strCache>
            </c:strRef>
          </c:tx>
          <c:spPr>
            <a:solidFill>
              <a:srgbClr val="8C1F28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MX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'📜 Código de Ética'!$A$13:$A$18</c:f>
              <c:strCache>
                <c:ptCount val="6"/>
                <c:pt idx="0">
                  <c:v>Art.1 Beneficencia</c:v>
                </c:pt>
                <c:pt idx="1">
                  <c:v>Art.2 No Maleficencia</c:v>
                </c:pt>
                <c:pt idx="2">
                  <c:v>Art.3 Autonomía y Consentimiento</c:v>
                </c:pt>
                <c:pt idx="3">
                  <c:v>Art.4 Justicia y No Discriminación</c:v>
                </c:pt>
                <c:pt idx="4">
                  <c:v>Art.5 Transparencia Algorítmica</c:v>
                </c:pt>
                <c:pt idx="5">
                  <c:v>Art.6 Responsabilidad Profesional</c:v>
                </c:pt>
              </c:strCache>
            </c:strRef>
          </c:cat>
          <c:val>
            <c:numRef>
              <c:f>'📜 Código de Ética'!$B$13:$B$18</c:f>
              <c:numCache>
                <c:formatCode>General</c:formatCode>
                <c:ptCount val="6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98</c:v>
                </c:pt>
                <c:pt idx="4">
                  <c:v>95</c:v>
                </c:pt>
                <c:pt idx="5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15F-4F7F-9130-1BBE1AFDE4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4773169"/>
        <c:axId val="91760828"/>
      </c:barChart>
      <c:catAx>
        <c:axId val="3477316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MX"/>
          </a:p>
        </c:txPr>
        <c:crossAx val="91760828"/>
        <c:crosses val="autoZero"/>
        <c:auto val="1"/>
        <c:lblAlgn val="ctr"/>
        <c:lblOffset val="100"/>
        <c:noMultiLvlLbl val="0"/>
      </c:catAx>
      <c:valAx>
        <c:axId val="9176082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MX"/>
          </a:p>
        </c:txPr>
        <c:crossAx val="3477316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s-MX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s-MX" sz="1800" b="1" strike="noStrike" spc="-1">
                <a:solidFill>
                  <a:srgbClr val="000000"/>
                </a:solidFill>
                <a:latin typeface="Calibri"/>
              </a:rPr>
              <a:t>Avance por Actividad — Ética Profesional (%)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'📋 Actividades y Avances'!$G$2</c:f>
              <c:strCache>
                <c:ptCount val="1"/>
                <c:pt idx="0">
                  <c:v>Avance (%)</c:v>
                </c:pt>
              </c:strCache>
            </c:strRef>
          </c:tx>
          <c:spPr>
            <a:solidFill>
              <a:srgbClr val="8C1F28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MX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'📋 Actividades y Avances'!$B$3:$B$14</c:f>
              <c:strCache>
                <c:ptCount val="12"/>
                <c:pt idx="0">
                  <c:v>Análisis marco legal GDPR y Ley 1581</c:v>
                </c:pt>
                <c:pt idx="1">
                  <c:v>Redacción Código de Ética (6 artículos)</c:v>
                </c:pt>
                <c:pt idx="2">
                  <c:v>Implementación Privacy by Design</c:v>
                </c:pt>
                <c:pt idx="3">
                  <c:v>Evaluación sesgo Enero-Febrero</c:v>
                </c:pt>
                <c:pt idx="4">
                  <c:v>Implementación SHAP en modelos ML</c:v>
                </c:pt>
                <c:pt idx="5">
                  <c:v>Plan de Gestión de Privacidad</c:v>
                </c:pt>
                <c:pt idx="6">
                  <c:v>Portal de privacidad de titulares</c:v>
                </c:pt>
                <c:pt idx="7">
                  <c:v>Auditoría de equidad algorítmica</c:v>
                </c:pt>
                <c:pt idx="8">
                  <c:v>Capacitación GDPR al equipo</c:v>
                </c:pt>
                <c:pt idx="9">
                  <c:v>Evaluación de impacto ético (EIE)</c:v>
                </c:pt>
                <c:pt idx="10">
                  <c:v>Documentación final y entregables</c:v>
                </c:pt>
                <c:pt idx="11">
                  <c:v>Presentación final al docente</c:v>
                </c:pt>
              </c:strCache>
            </c:strRef>
          </c:cat>
          <c:val>
            <c:numRef>
              <c:f>'📋 Actividades y Avances'!$G$3:$G$14</c:f>
              <c:numCache>
                <c:formatCode>General</c:formatCode>
                <c:ptCount val="12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90</c:v>
                </c:pt>
                <c:pt idx="10">
                  <c:v>85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BE5-4A2D-B215-87A06B1118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4637256"/>
        <c:axId val="85428802"/>
      </c:barChart>
      <c:catAx>
        <c:axId val="4463725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MX"/>
          </a:p>
        </c:txPr>
        <c:crossAx val="85428802"/>
        <c:crosses val="autoZero"/>
        <c:auto val="1"/>
        <c:lblAlgn val="ctr"/>
        <c:lblOffset val="100"/>
        <c:noMultiLvlLbl val="0"/>
      </c:catAx>
      <c:valAx>
        <c:axId val="85428802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MX"/>
          </a:p>
        </c:txPr>
        <c:crossAx val="4463725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s-MX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11</xdr:row>
      <xdr:rowOff>78120</xdr:rowOff>
    </xdr:from>
    <xdr:to>
      <xdr:col>5</xdr:col>
      <xdr:colOff>589320</xdr:colOff>
      <xdr:row>34</xdr:row>
      <xdr:rowOff>16200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428625</xdr:colOff>
      <xdr:row>9</xdr:row>
      <xdr:rowOff>47625</xdr:rowOff>
    </xdr:from>
    <xdr:to>
      <xdr:col>6</xdr:col>
      <xdr:colOff>46440</xdr:colOff>
      <xdr:row>31</xdr:row>
      <xdr:rowOff>176505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14</xdr:row>
      <xdr:rowOff>66675</xdr:rowOff>
    </xdr:from>
    <xdr:to>
      <xdr:col>6</xdr:col>
      <xdr:colOff>10065</xdr:colOff>
      <xdr:row>40</xdr:row>
      <xdr:rowOff>153435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2"/>
  <sheetViews>
    <sheetView showGridLines="0" zoomScaleNormal="100" workbookViewId="0">
      <selection activeCell="C19" sqref="C19"/>
    </sheetView>
  </sheetViews>
  <sheetFormatPr baseColWidth="10" defaultColWidth="8.7109375" defaultRowHeight="15" x14ac:dyDescent="0.25"/>
  <cols>
    <col min="1" max="1" width="37" bestFit="1" customWidth="1"/>
    <col min="2" max="2" width="14" customWidth="1"/>
    <col min="3" max="3" width="18.7109375" customWidth="1"/>
    <col min="4" max="4" width="32" customWidth="1"/>
    <col min="5" max="5" width="38" customWidth="1"/>
    <col min="6" max="6" width="16" customWidth="1"/>
    <col min="7" max="7" width="12" customWidth="1"/>
  </cols>
  <sheetData>
    <row r="1" spans="1:12" ht="34.5" customHeight="1" x14ac:dyDescent="0.25">
      <c r="A1" s="6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</row>
    <row r="2" spans="1:12" ht="18" customHeight="1" x14ac:dyDescent="0.25">
      <c r="A2" s="5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</row>
    <row r="4" spans="1:12" ht="24" customHeight="1" x14ac:dyDescent="0.25">
      <c r="A4" s="4" t="s">
        <v>2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</row>
    <row r="5" spans="1:12" ht="25.5" x14ac:dyDescent="0.25">
      <c r="A5" s="7" t="s">
        <v>3</v>
      </c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</row>
    <row r="6" spans="1:12" ht="21.75" customHeight="1" x14ac:dyDescent="0.25">
      <c r="A6" s="8" t="s">
        <v>9</v>
      </c>
      <c r="B6" s="9" t="s">
        <v>10</v>
      </c>
      <c r="C6" s="8" t="s">
        <v>11</v>
      </c>
      <c r="D6" s="9" t="s">
        <v>12</v>
      </c>
      <c r="E6" s="9" t="s">
        <v>13</v>
      </c>
      <c r="F6" s="9" t="s">
        <v>14</v>
      </c>
    </row>
    <row r="7" spans="1:12" ht="21.75" customHeight="1" x14ac:dyDescent="0.25">
      <c r="A7" s="10" t="s">
        <v>15</v>
      </c>
      <c r="B7" s="11" t="s">
        <v>16</v>
      </c>
      <c r="C7" s="10" t="s">
        <v>17</v>
      </c>
      <c r="D7" s="11" t="s">
        <v>18</v>
      </c>
      <c r="E7" s="11" t="s">
        <v>13</v>
      </c>
      <c r="F7" s="11" t="s">
        <v>14</v>
      </c>
    </row>
    <row r="8" spans="1:12" ht="21.75" customHeight="1" x14ac:dyDescent="0.25">
      <c r="A8" s="8" t="s">
        <v>19</v>
      </c>
      <c r="B8" s="9" t="s">
        <v>20</v>
      </c>
      <c r="C8" s="8" t="s">
        <v>21</v>
      </c>
      <c r="D8" s="9" t="s">
        <v>22</v>
      </c>
      <c r="E8" s="9" t="s">
        <v>13</v>
      </c>
      <c r="F8" s="9" t="s">
        <v>23</v>
      </c>
    </row>
    <row r="9" spans="1:12" ht="21.75" customHeight="1" x14ac:dyDescent="0.25">
      <c r="A9" s="10" t="s">
        <v>24</v>
      </c>
      <c r="B9" s="11" t="s">
        <v>25</v>
      </c>
      <c r="C9" s="10" t="s">
        <v>26</v>
      </c>
      <c r="D9" s="11" t="s">
        <v>27</v>
      </c>
      <c r="E9" s="11" t="s">
        <v>13</v>
      </c>
      <c r="F9" s="11" t="s">
        <v>14</v>
      </c>
    </row>
    <row r="10" spans="1:12" ht="21.75" customHeight="1" x14ac:dyDescent="0.25">
      <c r="A10" s="8" t="s">
        <v>28</v>
      </c>
      <c r="B10" s="9" t="s">
        <v>29</v>
      </c>
      <c r="C10" s="8" t="s">
        <v>30</v>
      </c>
      <c r="D10" s="9" t="s">
        <v>18</v>
      </c>
      <c r="E10" s="9" t="s">
        <v>13</v>
      </c>
      <c r="F10" s="9" t="s">
        <v>14</v>
      </c>
    </row>
    <row r="11" spans="1:12" ht="21.75" customHeight="1" x14ac:dyDescent="0.25">
      <c r="A11" s="10" t="s">
        <v>31</v>
      </c>
      <c r="B11" s="11" t="s">
        <v>32</v>
      </c>
      <c r="C11" s="10" t="s">
        <v>33</v>
      </c>
      <c r="D11" s="11" t="s">
        <v>34</v>
      </c>
      <c r="E11" s="11" t="s">
        <v>13</v>
      </c>
      <c r="F11" s="11" t="s">
        <v>14</v>
      </c>
    </row>
    <row r="12" spans="1:12" ht="21.75" customHeight="1" x14ac:dyDescent="0.25">
      <c r="A12" s="8" t="s">
        <v>35</v>
      </c>
      <c r="B12" s="9" t="s">
        <v>36</v>
      </c>
      <c r="C12" s="8" t="s">
        <v>37</v>
      </c>
      <c r="D12" s="9" t="s">
        <v>38</v>
      </c>
      <c r="E12" s="9" t="s">
        <v>13</v>
      </c>
      <c r="F12" s="9" t="s">
        <v>14</v>
      </c>
    </row>
    <row r="14" spans="1:12" ht="24" customHeight="1" x14ac:dyDescent="0.25">
      <c r="A14" s="3" t="s">
        <v>39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 ht="25.5" x14ac:dyDescent="0.25">
      <c r="A15" s="7" t="s">
        <v>40</v>
      </c>
      <c r="B15" s="7" t="s">
        <v>41</v>
      </c>
      <c r="C15" s="7" t="s">
        <v>42</v>
      </c>
      <c r="D15" s="7" t="s">
        <v>43</v>
      </c>
      <c r="E15" s="7" t="s">
        <v>44</v>
      </c>
      <c r="F15" s="7" t="s">
        <v>45</v>
      </c>
      <c r="G15" s="7" t="s">
        <v>7</v>
      </c>
    </row>
    <row r="16" spans="1:12" ht="21.75" customHeight="1" x14ac:dyDescent="0.25">
      <c r="A16" s="9" t="s">
        <v>46</v>
      </c>
      <c r="B16" s="9" t="s">
        <v>47</v>
      </c>
      <c r="C16" s="9" t="s">
        <v>48</v>
      </c>
      <c r="D16" s="9" t="s">
        <v>49</v>
      </c>
      <c r="E16" s="8" t="s">
        <v>50</v>
      </c>
      <c r="F16" s="9" t="s">
        <v>18</v>
      </c>
      <c r="G16" s="9" t="s">
        <v>51</v>
      </c>
    </row>
    <row r="17" spans="1:12" ht="21.75" customHeight="1" x14ac:dyDescent="0.25">
      <c r="A17" s="11" t="s">
        <v>52</v>
      </c>
      <c r="B17" s="11" t="s">
        <v>53</v>
      </c>
      <c r="C17" s="11" t="s">
        <v>48</v>
      </c>
      <c r="D17" s="11" t="s">
        <v>54</v>
      </c>
      <c r="E17" s="10" t="s">
        <v>55</v>
      </c>
      <c r="F17" s="11" t="s">
        <v>18</v>
      </c>
      <c r="G17" s="11" t="s">
        <v>51</v>
      </c>
    </row>
    <row r="18" spans="1:12" ht="21.75" customHeight="1" x14ac:dyDescent="0.25">
      <c r="A18" s="9" t="s">
        <v>56</v>
      </c>
      <c r="B18" s="9" t="s">
        <v>57</v>
      </c>
      <c r="C18" s="9" t="s">
        <v>48</v>
      </c>
      <c r="D18" s="9" t="s">
        <v>58</v>
      </c>
      <c r="E18" s="8" t="s">
        <v>59</v>
      </c>
      <c r="F18" s="9" t="s">
        <v>18</v>
      </c>
      <c r="G18" s="9" t="s">
        <v>51</v>
      </c>
    </row>
    <row r="19" spans="1:12" ht="21.75" customHeight="1" x14ac:dyDescent="0.25">
      <c r="A19" s="11" t="s">
        <v>60</v>
      </c>
      <c r="B19" s="11" t="s">
        <v>61</v>
      </c>
      <c r="C19" s="11" t="s">
        <v>48</v>
      </c>
      <c r="D19" s="11" t="s">
        <v>62</v>
      </c>
      <c r="E19" s="10" t="s">
        <v>63</v>
      </c>
      <c r="F19" s="11" t="s">
        <v>18</v>
      </c>
      <c r="G19" s="11" t="s">
        <v>51</v>
      </c>
    </row>
    <row r="20" spans="1:12" ht="21.75" customHeight="1" x14ac:dyDescent="0.25">
      <c r="A20" s="9" t="s">
        <v>64</v>
      </c>
      <c r="B20" s="9" t="s">
        <v>65</v>
      </c>
      <c r="C20" s="9" t="s">
        <v>66</v>
      </c>
      <c r="D20" s="9" t="s">
        <v>67</v>
      </c>
      <c r="E20" s="8" t="s">
        <v>68</v>
      </c>
      <c r="F20" s="9" t="s">
        <v>18</v>
      </c>
      <c r="G20" s="9" t="s">
        <v>51</v>
      </c>
    </row>
    <row r="21" spans="1:12" ht="21.75" customHeight="1" x14ac:dyDescent="0.25">
      <c r="A21" s="11" t="s">
        <v>69</v>
      </c>
      <c r="B21" s="11" t="s">
        <v>70</v>
      </c>
      <c r="C21" s="11" t="s">
        <v>71</v>
      </c>
      <c r="D21" s="11" t="s">
        <v>72</v>
      </c>
      <c r="E21" s="10" t="s">
        <v>73</v>
      </c>
      <c r="F21" s="11" t="s">
        <v>22</v>
      </c>
      <c r="G21" s="11" t="s">
        <v>74</v>
      </c>
    </row>
    <row r="22" spans="1:12" ht="21.75" customHeight="1" x14ac:dyDescent="0.25">
      <c r="A22" s="9" t="s">
        <v>75</v>
      </c>
      <c r="B22" s="9" t="s">
        <v>76</v>
      </c>
      <c r="C22" s="9" t="s">
        <v>77</v>
      </c>
      <c r="D22" s="9" t="s">
        <v>67</v>
      </c>
      <c r="E22" s="8" t="s">
        <v>78</v>
      </c>
      <c r="F22" s="9" t="s">
        <v>79</v>
      </c>
      <c r="G22" s="9" t="s">
        <v>80</v>
      </c>
    </row>
    <row r="24" spans="1:12" ht="24" customHeight="1" x14ac:dyDescent="0.25">
      <c r="A24" s="4" t="s">
        <v>81</v>
      </c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</row>
    <row r="25" spans="1:12" x14ac:dyDescent="0.25">
      <c r="A25" s="7" t="s">
        <v>82</v>
      </c>
      <c r="B25" s="7" t="s">
        <v>83</v>
      </c>
      <c r="C25" s="7" t="s">
        <v>84</v>
      </c>
      <c r="D25" s="7" t="s">
        <v>7</v>
      </c>
    </row>
    <row r="26" spans="1:12" ht="18" customHeight="1" x14ac:dyDescent="0.25">
      <c r="A26" s="9" t="s">
        <v>85</v>
      </c>
      <c r="B26" s="9" t="s">
        <v>86</v>
      </c>
      <c r="C26" s="9" t="s">
        <v>87</v>
      </c>
      <c r="D26" s="9" t="s">
        <v>88</v>
      </c>
    </row>
    <row r="27" spans="1:12" ht="18" customHeight="1" x14ac:dyDescent="0.25">
      <c r="A27" s="11" t="s">
        <v>89</v>
      </c>
      <c r="B27" s="11" t="s">
        <v>90</v>
      </c>
      <c r="C27" s="11" t="s">
        <v>18</v>
      </c>
      <c r="D27" s="11" t="s">
        <v>91</v>
      </c>
    </row>
    <row r="28" spans="1:12" ht="18" customHeight="1" x14ac:dyDescent="0.25">
      <c r="A28" s="9" t="s">
        <v>92</v>
      </c>
      <c r="B28" s="9" t="s">
        <v>93</v>
      </c>
      <c r="C28" s="9" t="s">
        <v>94</v>
      </c>
      <c r="D28" s="9" t="s">
        <v>95</v>
      </c>
    </row>
    <row r="29" spans="1:12" ht="18" customHeight="1" x14ac:dyDescent="0.25">
      <c r="A29" s="11" t="s">
        <v>96</v>
      </c>
      <c r="B29" s="11" t="s">
        <v>97</v>
      </c>
      <c r="C29" s="11">
        <f>0</f>
        <v>0</v>
      </c>
      <c r="D29" s="11" t="s">
        <v>98</v>
      </c>
    </row>
    <row r="30" spans="1:12" ht="18" customHeight="1" x14ac:dyDescent="0.25">
      <c r="A30" s="9" t="s">
        <v>99</v>
      </c>
      <c r="B30" s="9" t="s">
        <v>100</v>
      </c>
      <c r="C30" s="9" t="s">
        <v>18</v>
      </c>
      <c r="D30" s="9" t="s">
        <v>101</v>
      </c>
    </row>
    <row r="31" spans="1:12" ht="18" customHeight="1" x14ac:dyDescent="0.25">
      <c r="A31" s="11" t="s">
        <v>102</v>
      </c>
      <c r="B31" s="11" t="s">
        <v>18</v>
      </c>
      <c r="C31" s="11" t="s">
        <v>103</v>
      </c>
      <c r="D31" s="11" t="s">
        <v>88</v>
      </c>
    </row>
    <row r="32" spans="1:12" ht="18" customHeight="1" x14ac:dyDescent="0.25">
      <c r="A32" s="9" t="s">
        <v>104</v>
      </c>
      <c r="B32" s="9" t="s">
        <v>18</v>
      </c>
      <c r="C32" s="9" t="s">
        <v>18</v>
      </c>
      <c r="D32" s="9" t="s">
        <v>105</v>
      </c>
    </row>
  </sheetData>
  <mergeCells count="5">
    <mergeCell ref="A1:L1"/>
    <mergeCell ref="A2:L2"/>
    <mergeCell ref="A4:L4"/>
    <mergeCell ref="A14:L14"/>
    <mergeCell ref="A24:L24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0"/>
  <sheetViews>
    <sheetView showGridLines="0" zoomScaleNormal="100" workbookViewId="0">
      <selection activeCell="G25" sqref="G25"/>
    </sheetView>
  </sheetViews>
  <sheetFormatPr baseColWidth="10" defaultColWidth="8.7109375" defaultRowHeight="15" x14ac:dyDescent="0.25"/>
  <cols>
    <col min="1" max="1" width="10" customWidth="1"/>
    <col min="2" max="2" width="24" customWidth="1"/>
    <col min="3" max="3" width="26" customWidth="1"/>
    <col min="4" max="5" width="22" customWidth="1"/>
    <col min="6" max="6" width="26" customWidth="1"/>
    <col min="7" max="7" width="15.28515625" bestFit="1" customWidth="1"/>
  </cols>
  <sheetData>
    <row r="1" spans="1:8" ht="30" customHeight="1" x14ac:dyDescent="0.25">
      <c r="A1" s="2" t="s">
        <v>106</v>
      </c>
      <c r="B1" s="2"/>
      <c r="C1" s="2"/>
      <c r="D1" s="2"/>
      <c r="E1" s="2"/>
      <c r="F1" s="2"/>
      <c r="G1" s="2"/>
      <c r="H1" s="2"/>
    </row>
    <row r="3" spans="1:8" ht="21.75" customHeight="1" x14ac:dyDescent="0.25">
      <c r="A3" s="1" t="s">
        <v>107</v>
      </c>
      <c r="B3" s="1"/>
      <c r="C3" s="1"/>
      <c r="D3" s="1"/>
      <c r="E3" s="1"/>
      <c r="F3" s="1"/>
      <c r="G3" s="1"/>
      <c r="H3" s="1"/>
    </row>
    <row r="4" spans="1:8" ht="25.5" x14ac:dyDescent="0.25">
      <c r="A4" s="7" t="s">
        <v>108</v>
      </c>
      <c r="B4" s="7" t="s">
        <v>109</v>
      </c>
      <c r="C4" s="7" t="s">
        <v>110</v>
      </c>
      <c r="D4" s="7" t="s">
        <v>111</v>
      </c>
      <c r="E4" s="7" t="s">
        <v>112</v>
      </c>
      <c r="F4" s="7" t="s">
        <v>113</v>
      </c>
      <c r="G4" s="7" t="s">
        <v>7</v>
      </c>
    </row>
    <row r="5" spans="1:8" ht="19.5" customHeight="1" x14ac:dyDescent="0.25">
      <c r="A5" s="9" t="s">
        <v>114</v>
      </c>
      <c r="B5" s="9">
        <v>8.1999999999999993</v>
      </c>
      <c r="C5" s="9">
        <v>10.5</v>
      </c>
      <c r="D5" s="9">
        <v>0.12</v>
      </c>
      <c r="E5" s="9" t="s">
        <v>115</v>
      </c>
      <c r="F5" s="9" t="s">
        <v>116</v>
      </c>
      <c r="G5" s="9" t="s">
        <v>117</v>
      </c>
    </row>
    <row r="6" spans="1:8" ht="19.5" customHeight="1" x14ac:dyDescent="0.25">
      <c r="A6" s="11" t="s">
        <v>118</v>
      </c>
      <c r="B6" s="11">
        <v>6.1</v>
      </c>
      <c r="C6" s="11">
        <v>8.3000000000000007</v>
      </c>
      <c r="D6" s="11">
        <v>0.09</v>
      </c>
      <c r="E6" s="11" t="s">
        <v>119</v>
      </c>
      <c r="F6" s="11" t="s">
        <v>120</v>
      </c>
      <c r="G6" s="11" t="s">
        <v>117</v>
      </c>
    </row>
    <row r="7" spans="1:8" ht="19.5" customHeight="1" x14ac:dyDescent="0.25">
      <c r="A7" s="9" t="s">
        <v>121</v>
      </c>
      <c r="B7" s="9">
        <v>4.5</v>
      </c>
      <c r="C7" s="9">
        <v>6.2</v>
      </c>
      <c r="D7" s="9">
        <v>7.0000000000000007E-2</v>
      </c>
      <c r="E7" s="9" t="s">
        <v>122</v>
      </c>
      <c r="F7" s="9" t="s">
        <v>123</v>
      </c>
      <c r="G7" s="9" t="s">
        <v>124</v>
      </c>
    </row>
    <row r="8" spans="1:8" ht="19.5" customHeight="1" x14ac:dyDescent="0.25">
      <c r="A8" s="11" t="s">
        <v>125</v>
      </c>
      <c r="B8" s="11">
        <v>3.2</v>
      </c>
      <c r="C8" s="11">
        <v>5.0999999999999996</v>
      </c>
      <c r="D8" s="11">
        <v>0.05</v>
      </c>
      <c r="E8" s="11" t="s">
        <v>126</v>
      </c>
      <c r="F8" s="11" t="s">
        <v>127</v>
      </c>
      <c r="G8" s="11" t="s">
        <v>128</v>
      </c>
    </row>
    <row r="9" spans="1:8" ht="19.5" customHeight="1" x14ac:dyDescent="0.25">
      <c r="A9" s="9" t="s">
        <v>129</v>
      </c>
      <c r="B9" s="9">
        <v>2.8</v>
      </c>
      <c r="C9" s="9">
        <v>4</v>
      </c>
      <c r="D9" s="9">
        <v>0.04</v>
      </c>
      <c r="E9" s="9" t="s">
        <v>130</v>
      </c>
      <c r="F9" s="9" t="s">
        <v>131</v>
      </c>
      <c r="G9" s="9" t="s">
        <v>95</v>
      </c>
    </row>
    <row r="10" spans="1:8" ht="19.5" customHeight="1" x14ac:dyDescent="0.25">
      <c r="A10" s="11" t="s">
        <v>132</v>
      </c>
      <c r="B10" s="11">
        <v>2.1</v>
      </c>
      <c r="C10" s="11">
        <v>3.5</v>
      </c>
      <c r="D10" s="11">
        <v>0.03</v>
      </c>
      <c r="E10" s="11" t="s">
        <v>130</v>
      </c>
      <c r="F10" s="11" t="s">
        <v>131</v>
      </c>
      <c r="G10" s="11" t="s">
        <v>95</v>
      </c>
    </row>
  </sheetData>
  <mergeCells count="2">
    <mergeCell ref="A1:H1"/>
    <mergeCell ref="A3:H3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8"/>
  <sheetViews>
    <sheetView showGridLines="0" topLeftCell="A4" zoomScaleNormal="100" workbookViewId="0">
      <selection activeCell="K13" sqref="K13"/>
    </sheetView>
  </sheetViews>
  <sheetFormatPr baseColWidth="10" defaultColWidth="8.7109375" defaultRowHeight="15" x14ac:dyDescent="0.25"/>
  <cols>
    <col min="1" max="1" width="5" customWidth="1"/>
    <col min="2" max="2" width="22" customWidth="1"/>
    <col min="3" max="3" width="36" customWidth="1"/>
    <col min="4" max="4" width="32" customWidth="1"/>
    <col min="5" max="5" width="14" customWidth="1"/>
    <col min="6" max="6" width="16" customWidth="1"/>
  </cols>
  <sheetData>
    <row r="1" spans="1:6" ht="30" customHeight="1" x14ac:dyDescent="0.25">
      <c r="A1" s="2" t="s">
        <v>133</v>
      </c>
      <c r="B1" s="2"/>
      <c r="C1" s="2"/>
      <c r="D1" s="2"/>
      <c r="E1" s="2"/>
      <c r="F1" s="2"/>
    </row>
    <row r="2" spans="1:6" ht="25.5" x14ac:dyDescent="0.25">
      <c r="A2" s="7" t="s">
        <v>134</v>
      </c>
      <c r="B2" s="7" t="s">
        <v>135</v>
      </c>
      <c r="C2" s="7" t="s">
        <v>136</v>
      </c>
      <c r="D2" s="7" t="s">
        <v>137</v>
      </c>
      <c r="E2" s="7" t="s">
        <v>138</v>
      </c>
      <c r="F2" s="7" t="s">
        <v>139</v>
      </c>
    </row>
    <row r="3" spans="1:6" ht="27.75" customHeight="1" x14ac:dyDescent="0.25">
      <c r="A3" s="9">
        <v>1</v>
      </c>
      <c r="B3" s="9" t="s">
        <v>140</v>
      </c>
      <c r="C3" s="8" t="s">
        <v>141</v>
      </c>
      <c r="D3" s="8" t="s">
        <v>142</v>
      </c>
      <c r="E3" s="9" t="s">
        <v>18</v>
      </c>
      <c r="F3" s="9" t="s">
        <v>143</v>
      </c>
    </row>
    <row r="4" spans="1:6" ht="27.75" customHeight="1" x14ac:dyDescent="0.25">
      <c r="A4" s="11">
        <v>2</v>
      </c>
      <c r="B4" s="11" t="s">
        <v>144</v>
      </c>
      <c r="C4" s="10" t="s">
        <v>145</v>
      </c>
      <c r="D4" s="10" t="s">
        <v>146</v>
      </c>
      <c r="E4" s="11" t="s">
        <v>18</v>
      </c>
      <c r="F4" s="11" t="s">
        <v>143</v>
      </c>
    </row>
    <row r="5" spans="1:6" ht="27.75" customHeight="1" x14ac:dyDescent="0.25">
      <c r="A5" s="9">
        <v>3</v>
      </c>
      <c r="B5" s="9" t="s">
        <v>147</v>
      </c>
      <c r="C5" s="8" t="s">
        <v>148</v>
      </c>
      <c r="D5" s="8" t="s">
        <v>149</v>
      </c>
      <c r="E5" s="9" t="s">
        <v>18</v>
      </c>
      <c r="F5" s="9" t="s">
        <v>143</v>
      </c>
    </row>
    <row r="6" spans="1:6" ht="27.75" customHeight="1" x14ac:dyDescent="0.25">
      <c r="A6" s="11">
        <v>4</v>
      </c>
      <c r="B6" s="11" t="s">
        <v>150</v>
      </c>
      <c r="C6" s="10" t="s">
        <v>151</v>
      </c>
      <c r="D6" s="10" t="s">
        <v>152</v>
      </c>
      <c r="E6" s="11" t="s">
        <v>12</v>
      </c>
      <c r="F6" s="11" t="s">
        <v>153</v>
      </c>
    </row>
    <row r="7" spans="1:6" ht="27.75" customHeight="1" x14ac:dyDescent="0.25">
      <c r="A7" s="9">
        <v>5</v>
      </c>
      <c r="B7" s="9" t="s">
        <v>154</v>
      </c>
      <c r="C7" s="8" t="s">
        <v>155</v>
      </c>
      <c r="D7" s="8" t="s">
        <v>156</v>
      </c>
      <c r="E7" s="9" t="s">
        <v>22</v>
      </c>
      <c r="F7" s="9" t="s">
        <v>143</v>
      </c>
    </row>
    <row r="8" spans="1:6" ht="27.75" customHeight="1" x14ac:dyDescent="0.25">
      <c r="A8" s="11">
        <v>6</v>
      </c>
      <c r="B8" s="11" t="s">
        <v>157</v>
      </c>
      <c r="C8" s="10" t="s">
        <v>158</v>
      </c>
      <c r="D8" s="10" t="s">
        <v>159</v>
      </c>
      <c r="E8" s="11" t="s">
        <v>18</v>
      </c>
      <c r="F8" s="11" t="s">
        <v>160</v>
      </c>
    </row>
    <row r="12" spans="1:6" x14ac:dyDescent="0.25">
      <c r="A12" t="s">
        <v>135</v>
      </c>
      <c r="B12" t="s">
        <v>161</v>
      </c>
    </row>
    <row r="13" spans="1:6" x14ac:dyDescent="0.25">
      <c r="A13" t="s">
        <v>162</v>
      </c>
      <c r="B13">
        <v>100</v>
      </c>
    </row>
    <row r="14" spans="1:6" x14ac:dyDescent="0.25">
      <c r="A14" t="s">
        <v>163</v>
      </c>
      <c r="B14">
        <v>100</v>
      </c>
    </row>
    <row r="15" spans="1:6" x14ac:dyDescent="0.25">
      <c r="A15" t="s">
        <v>164</v>
      </c>
      <c r="B15">
        <v>100</v>
      </c>
    </row>
    <row r="16" spans="1:6" x14ac:dyDescent="0.25">
      <c r="A16" t="s">
        <v>165</v>
      </c>
      <c r="B16">
        <v>98</v>
      </c>
    </row>
    <row r="17" spans="1:2" x14ac:dyDescent="0.25">
      <c r="A17" t="s">
        <v>166</v>
      </c>
      <c r="B17">
        <v>95</v>
      </c>
    </row>
    <row r="18" spans="1:2" x14ac:dyDescent="0.25">
      <c r="A18" t="s">
        <v>167</v>
      </c>
      <c r="B18">
        <v>100</v>
      </c>
    </row>
  </sheetData>
  <mergeCells count="1">
    <mergeCell ref="A1:F1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4"/>
  <sheetViews>
    <sheetView showGridLines="0" tabSelected="1" zoomScaleNormal="100" workbookViewId="0">
      <selection activeCell="D3" sqref="D3"/>
    </sheetView>
  </sheetViews>
  <sheetFormatPr baseColWidth="10" defaultColWidth="8.7109375" defaultRowHeight="15" x14ac:dyDescent="0.25"/>
  <cols>
    <col min="1" max="1" width="5" customWidth="1"/>
    <col min="2" max="2" width="38" customWidth="1"/>
    <col min="3" max="3" width="30" customWidth="1"/>
    <col min="4" max="4" width="16" customWidth="1"/>
    <col min="5" max="7" width="12" customWidth="1"/>
    <col min="8" max="8" width="14" customWidth="1"/>
  </cols>
  <sheetData>
    <row r="1" spans="1:8" ht="30" customHeight="1" x14ac:dyDescent="0.25">
      <c r="A1" s="2" t="s">
        <v>168</v>
      </c>
      <c r="B1" s="2"/>
      <c r="C1" s="2"/>
      <c r="D1" s="2"/>
      <c r="E1" s="2"/>
      <c r="F1" s="2"/>
      <c r="G1" s="2"/>
      <c r="H1" s="2"/>
    </row>
    <row r="2" spans="1:8" x14ac:dyDescent="0.25">
      <c r="A2" s="7" t="s">
        <v>169</v>
      </c>
      <c r="B2" s="7" t="s">
        <v>170</v>
      </c>
      <c r="C2" s="7" t="s">
        <v>171</v>
      </c>
      <c r="D2" s="7" t="s">
        <v>172</v>
      </c>
      <c r="E2" s="7" t="s">
        <v>173</v>
      </c>
      <c r="F2" s="7" t="s">
        <v>174</v>
      </c>
      <c r="G2" s="7" t="s">
        <v>175</v>
      </c>
      <c r="H2" s="7" t="s">
        <v>7</v>
      </c>
    </row>
    <row r="3" spans="1:8" ht="19.5" customHeight="1" x14ac:dyDescent="0.25">
      <c r="A3" s="12">
        <v>1</v>
      </c>
      <c r="B3" s="13" t="s">
        <v>176</v>
      </c>
      <c r="C3" s="12" t="s">
        <v>177</v>
      </c>
      <c r="D3" s="12" t="s">
        <v>178</v>
      </c>
      <c r="E3" s="12" t="s">
        <v>179</v>
      </c>
      <c r="F3" s="12" t="s">
        <v>180</v>
      </c>
      <c r="G3" s="12">
        <v>100</v>
      </c>
      <c r="H3" s="12" t="s">
        <v>181</v>
      </c>
    </row>
    <row r="4" spans="1:8" ht="19.5" customHeight="1" x14ac:dyDescent="0.25">
      <c r="A4" s="12">
        <v>2</v>
      </c>
      <c r="B4" s="13" t="s">
        <v>182</v>
      </c>
      <c r="C4" s="12" t="s">
        <v>183</v>
      </c>
      <c r="D4" s="12" t="s">
        <v>184</v>
      </c>
      <c r="E4" s="12" t="s">
        <v>185</v>
      </c>
      <c r="F4" s="12" t="s">
        <v>186</v>
      </c>
      <c r="G4" s="12">
        <v>100</v>
      </c>
      <c r="H4" s="12" t="s">
        <v>181</v>
      </c>
    </row>
    <row r="5" spans="1:8" ht="19.5" customHeight="1" x14ac:dyDescent="0.25">
      <c r="A5" s="12">
        <v>3</v>
      </c>
      <c r="B5" s="13" t="s">
        <v>187</v>
      </c>
      <c r="C5" s="12" t="s">
        <v>188</v>
      </c>
      <c r="D5" s="12" t="s">
        <v>189</v>
      </c>
      <c r="E5" s="12" t="s">
        <v>190</v>
      </c>
      <c r="F5" s="12" t="s">
        <v>191</v>
      </c>
      <c r="G5" s="12">
        <v>100</v>
      </c>
      <c r="H5" s="12" t="s">
        <v>181</v>
      </c>
    </row>
    <row r="6" spans="1:8" ht="19.5" customHeight="1" x14ac:dyDescent="0.25">
      <c r="A6" s="12">
        <v>4</v>
      </c>
      <c r="B6" s="13" t="s">
        <v>192</v>
      </c>
      <c r="C6" s="12" t="s">
        <v>193</v>
      </c>
      <c r="D6" s="12" t="s">
        <v>194</v>
      </c>
      <c r="E6" s="12" t="s">
        <v>195</v>
      </c>
      <c r="F6" s="12" t="s">
        <v>196</v>
      </c>
      <c r="G6" s="12">
        <v>100</v>
      </c>
      <c r="H6" s="12" t="s">
        <v>181</v>
      </c>
    </row>
    <row r="7" spans="1:8" ht="19.5" customHeight="1" x14ac:dyDescent="0.25">
      <c r="A7" s="12">
        <v>5</v>
      </c>
      <c r="B7" s="13" t="s">
        <v>197</v>
      </c>
      <c r="C7" s="12" t="s">
        <v>198</v>
      </c>
      <c r="D7" s="12" t="s">
        <v>194</v>
      </c>
      <c r="E7" s="12" t="s">
        <v>199</v>
      </c>
      <c r="F7" s="12" t="s">
        <v>200</v>
      </c>
      <c r="G7" s="12">
        <v>100</v>
      </c>
      <c r="H7" s="12" t="s">
        <v>181</v>
      </c>
    </row>
    <row r="8" spans="1:8" ht="19.5" customHeight="1" x14ac:dyDescent="0.25">
      <c r="A8" s="12">
        <v>6</v>
      </c>
      <c r="B8" s="13" t="s">
        <v>201</v>
      </c>
      <c r="C8" s="12" t="s">
        <v>202</v>
      </c>
      <c r="D8" s="12" t="s">
        <v>178</v>
      </c>
      <c r="E8" s="12" t="s">
        <v>203</v>
      </c>
      <c r="F8" s="12" t="s">
        <v>204</v>
      </c>
      <c r="G8" s="12">
        <v>100</v>
      </c>
      <c r="H8" s="12" t="s">
        <v>181</v>
      </c>
    </row>
    <row r="9" spans="1:8" ht="19.5" customHeight="1" x14ac:dyDescent="0.25">
      <c r="A9" s="12">
        <v>7</v>
      </c>
      <c r="B9" s="13" t="s">
        <v>205</v>
      </c>
      <c r="C9" s="12" t="s">
        <v>206</v>
      </c>
      <c r="D9" s="12" t="s">
        <v>207</v>
      </c>
      <c r="E9" s="12" t="s">
        <v>208</v>
      </c>
      <c r="F9" s="12" t="s">
        <v>209</v>
      </c>
      <c r="G9" s="12">
        <v>100</v>
      </c>
      <c r="H9" s="12" t="s">
        <v>181</v>
      </c>
    </row>
    <row r="10" spans="1:8" ht="19.5" customHeight="1" x14ac:dyDescent="0.25">
      <c r="A10" s="12">
        <v>8</v>
      </c>
      <c r="B10" s="13" t="s">
        <v>210</v>
      </c>
      <c r="C10" s="12" t="s">
        <v>211</v>
      </c>
      <c r="D10" s="12" t="s">
        <v>194</v>
      </c>
      <c r="E10" s="12" t="s">
        <v>212</v>
      </c>
      <c r="F10" s="12" t="s">
        <v>213</v>
      </c>
      <c r="G10" s="12">
        <v>100</v>
      </c>
      <c r="H10" s="12" t="s">
        <v>181</v>
      </c>
    </row>
    <row r="11" spans="1:8" ht="19.5" customHeight="1" x14ac:dyDescent="0.25">
      <c r="A11" s="12">
        <v>9</v>
      </c>
      <c r="B11" s="13" t="s">
        <v>214</v>
      </c>
      <c r="C11" s="12" t="s">
        <v>215</v>
      </c>
      <c r="D11" s="12" t="s">
        <v>216</v>
      </c>
      <c r="E11" s="12" t="s">
        <v>217</v>
      </c>
      <c r="F11" s="12" t="s">
        <v>218</v>
      </c>
      <c r="G11" s="12">
        <v>100</v>
      </c>
      <c r="H11" s="12" t="s">
        <v>181</v>
      </c>
    </row>
    <row r="12" spans="1:8" ht="19.5" customHeight="1" x14ac:dyDescent="0.25">
      <c r="A12" s="14">
        <v>10</v>
      </c>
      <c r="B12" s="15" t="s">
        <v>219</v>
      </c>
      <c r="C12" s="14" t="s">
        <v>220</v>
      </c>
      <c r="D12" s="14" t="s">
        <v>178</v>
      </c>
      <c r="E12" s="14" t="s">
        <v>221</v>
      </c>
      <c r="F12" s="14" t="s">
        <v>222</v>
      </c>
      <c r="G12" s="14">
        <v>90</v>
      </c>
      <c r="H12" s="14" t="s">
        <v>223</v>
      </c>
    </row>
    <row r="13" spans="1:8" ht="19.5" customHeight="1" x14ac:dyDescent="0.25">
      <c r="A13" s="14">
        <v>11</v>
      </c>
      <c r="B13" s="15" t="s">
        <v>224</v>
      </c>
      <c r="C13" s="14" t="s">
        <v>225</v>
      </c>
      <c r="D13" s="14" t="s">
        <v>184</v>
      </c>
      <c r="E13" s="14" t="s">
        <v>226</v>
      </c>
      <c r="F13" s="14" t="s">
        <v>227</v>
      </c>
      <c r="G13" s="14">
        <v>85</v>
      </c>
      <c r="H13" s="14" t="s">
        <v>223</v>
      </c>
    </row>
    <row r="14" spans="1:8" ht="19.5" customHeight="1" x14ac:dyDescent="0.25">
      <c r="A14" s="9">
        <v>12</v>
      </c>
      <c r="B14" s="8" t="s">
        <v>228</v>
      </c>
      <c r="C14" s="9" t="s">
        <v>229</v>
      </c>
      <c r="D14" s="9" t="s">
        <v>184</v>
      </c>
      <c r="E14" s="9" t="s">
        <v>230</v>
      </c>
      <c r="F14" s="9" t="s">
        <v>231</v>
      </c>
      <c r="G14" s="9">
        <v>0</v>
      </c>
      <c r="H14" s="9" t="s">
        <v>232</v>
      </c>
    </row>
  </sheetData>
  <mergeCells count="1">
    <mergeCell ref="A1:H1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📊 Dashboard Ética GDPR</vt:lpstr>
      <vt:lpstr>⚖️ Evaluación de Sesgos</vt:lpstr>
      <vt:lpstr>📜 Código de Ética</vt:lpstr>
      <vt:lpstr>📋 Actividades y Avances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Ruben Andres Reyes Cuellar</cp:lastModifiedBy>
  <cp:revision>1</cp:revision>
  <dcterms:created xsi:type="dcterms:W3CDTF">2026-05-06T03:11:29Z</dcterms:created>
  <dcterms:modified xsi:type="dcterms:W3CDTF">2026-05-06T03:22:38Z</dcterms:modified>
  <dc:language>en-US</dc:language>
</cp:coreProperties>
</file>